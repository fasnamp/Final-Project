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defaultuser0.FNZAZD-9771\Desktop\fasna\my main project\"/>
    </mc:Choice>
  </mc:AlternateContent>
  <xr:revisionPtr revIDLastSave="0" documentId="13_ncr:1_{64A177F9-6589-493A-999C-48AD7EE48A3F}" xr6:coauthVersionLast="47" xr6:coauthVersionMax="47" xr10:uidLastSave="{00000000-0000-0000-0000-000000000000}"/>
  <bookViews>
    <workbookView xWindow="-120" yWindow="-120" windowWidth="20730" windowHeight="11160" firstSheet="1" activeTab="3" xr2:uid="{22B61D04-69AC-4C1A-B39A-19E02DE8B8C0}"/>
  </bookViews>
  <sheets>
    <sheet name="Sleep_health_and_lifestyle_data" sheetId="2" r:id="rId1"/>
    <sheet name="Sleep_health_and_lifestyle_ (2)" sheetId="3" r:id="rId2"/>
    <sheet name="Pivot Table" sheetId="4" r:id="rId3"/>
    <sheet name="Dashboard" sheetId="6" r:id="rId4"/>
  </sheets>
  <definedNames>
    <definedName name="ExternalData_1" localSheetId="1" hidden="1">'Sleep_health_and_lifestyle_ (2)'!$A$1:$M$375</definedName>
    <definedName name="ExternalData_1" localSheetId="0" hidden="1">Sleep_health_and_lifestyle_data!$A$1:$M$375</definedName>
    <definedName name="Slicer_Gender">#N/A</definedName>
    <definedName name="Slicer_Occupation">#N/A</definedName>
    <definedName name="Slicer_Sleep_Disor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90" i="4" l="1"/>
  <c r="AF87" i="4"/>
  <c r="AF81" i="4"/>
  <c r="AF84" i="4"/>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V11" i="3"/>
  <c r="V10" i="3"/>
  <c r="V9"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455589-F527-4259-BCE8-8224AD45B04E}" keepAlive="1" name="Query - Sleep_health_and_lifestyle_dataset" description="Connection to the 'Sleep_health_and_lifestyle_dataset' query in the workbook." type="5" refreshedVersion="7" background="1" saveData="1">
    <dbPr connection="Provider=Microsoft.Mashup.OleDb.1;Data Source=$Workbook$;Location=Sleep_health_and_lifestyle_dataset;Extended Properties=&quot;&quot;" command="SELECT * FROM [Sleep_health_and_lifestyle_dataset]"/>
  </connection>
  <connection id="2" xr16:uid="{FA9E94EC-6497-4A58-962B-5421FACB8B93}" keepAlive="1" name="Query - Sleep_health_and_lifestyle_dataset (2)" description="Connection to the 'Sleep_health_and_lifestyle_dataset (2)' query in the workbook." type="5" refreshedVersion="7" background="1" saveData="1">
    <dbPr connection="Provider=Microsoft.Mashup.OleDb.1;Data Source=$Workbook$;Location=&quot;Sleep_health_and_lifestyle_dataset (2)&quot;;Extended Properties=&quot;&quot;" command="SELECT * FROM [Sleep_health_and_lifestyle_dataset (2)]"/>
  </connection>
</connections>
</file>

<file path=xl/sharedStrings.xml><?xml version="1.0" encoding="utf-8"?>
<sst xmlns="http://schemas.openxmlformats.org/spreadsheetml/2006/main" count="3438" uniqueCount="71">
  <si>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</si>
  <si>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</si>
  <si>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</si>
  <si>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</si>
  <si>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</si>
  <si>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</si>
  <si>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</si>
  <si>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</si>
  <si>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</si>
  <si>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</si>
  <si>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</si>
  <si>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</si>
  <si>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</si>
  <si>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</si>
  <si>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</si>
  <si>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</si>
  <si>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</si>
  <si>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</si>
  <si>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</si>
  <si>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</si>
  <si>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</si>
  <si>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</si>
  <si>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</si>
  <si>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</si>
  <si>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</si>
  <si>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</si>
  <si>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</si>
  <si>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</si>
  <si>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</si>
  <si>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</si>
  <si>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</si>
  <si>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</si>
  <si>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</si>
  <si>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</si>
  <si>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</si>
  <si>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</si>
  <si>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</si>
  <si>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</si>
  <si>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</si>
  <si>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</si>
  <si>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</si>
  <si>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</si>
  <si>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</si>
  <si>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</si>
  <si>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</si>
  <si>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</si>
  <si>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</si>
  <si>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</si>
  <si>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</si>
  <si>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</si>
  <si>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</si>
  <si>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</si>
  <si>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</si>
  <si>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</si>
  <si>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</si>
  <si>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</si>
  <si>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</si>
  <si>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</si>
  <si>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 xml:space="preserve">Sleep Quality Category </t>
  </si>
  <si>
    <t>Activity Level Group</t>
  </si>
  <si>
    <t>Systolic_BP</t>
  </si>
  <si>
    <t>Diastolic_BP</t>
  </si>
  <si>
    <t>Row Labels</t>
  </si>
  <si>
    <t>Grand Total</t>
  </si>
  <si>
    <t>Sum of Sleep Duration</t>
  </si>
  <si>
    <t>Column Labels</t>
  </si>
  <si>
    <t>Average of Quality of Sleep</t>
  </si>
  <si>
    <t>Count of Person ID</t>
  </si>
  <si>
    <t>Average of Sleep Duration</t>
  </si>
  <si>
    <t>Average of Stress Level</t>
  </si>
  <si>
    <t>Count of Sleep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</si>
</sst>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5" fontId="0" fillId="0" borderId="0" xfId="0" applyNumberFormat="1"/>
    <xf numFmtId="9" fontId="0" fillId="0" borderId="0" xfId="1" applyFont="1"/>
  </cellXfs>
  <cellStyles count="2">
    <cellStyle name="Normal" xfId="0" builtinId="0"/>
    <cellStyle name="Percent" xfId="1" builtinId="5"/>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font>
        <color rgb="FFE67DFF"/>
      </font>
    </dxf>
  </dxfs>
  <tableStyles count="3" defaultTableStyle="TableStyleMedium2" defaultPivotStyle="PivotStyleLight16">
    <tableStyle name="Slicer Style 1" pivot="0" table="0" count="1" xr9:uid="{1CEBD0FB-BF85-44A9-AC22-A6C3C0998F31}">
      <tableStyleElement type="wholeTable" dxfId="13"/>
    </tableStyle>
    <tableStyle name="Slicer Style 2" pivot="0" table="0" count="1" xr9:uid="{BB0EB931-BB78-4A2F-8E78-BA8196268666}"/>
    <tableStyle name="Slicer Style 3" pivot="0" table="0" count="1" xr9:uid="{8DDA15DA-2CB7-449B-A8D3-75CE51FF8263}"/>
  </tableStyles>
  <colors>
    <mruColors>
      <color rgb="FFDFC9EF"/>
      <color rgb="FFEBBFE6"/>
      <color rgb="FFE67DFF"/>
      <color rgb="FFF789C8"/>
      <color rgb="FFD60E80"/>
    </mruColors>
  </colors>
  <extLst>
    <ext xmlns:x14="http://schemas.microsoft.com/office/spreadsheetml/2009/9/main" uri="{46F421CA-312F-682f-3DD2-61675219B42D}">
      <x14:dxfs count="2">
        <dxf>
          <fill>
            <patternFill>
              <bgColor rgb="FF7030A0"/>
            </patternFill>
          </fill>
        </dxf>
        <dxf>
          <fill>
            <patternFill>
              <bgColor rgb="FFEBBFE6"/>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Table!Average Sleep Duration by Gender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Sleep Duration by Gender</a:t>
            </a:r>
            <a:endParaRPr lang="en-US"/>
          </a:p>
        </c:rich>
      </c:tx>
      <c:layout>
        <c:manualLayout>
          <c:xMode val="edge"/>
          <c:yMode val="edge"/>
          <c:x val="0.13485658066682932"/>
          <c:y val="0.155041704678409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0.0</c:formatCode>
                <c:ptCount val="2"/>
                <c:pt idx="0">
                  <c:v>1337.4999999999998</c:v>
                </c:pt>
                <c:pt idx="1">
                  <c:v>1329.8999999999994</c:v>
                </c:pt>
              </c:numCache>
            </c:numRef>
          </c:val>
          <c:extLst>
            <c:ext xmlns:c16="http://schemas.microsoft.com/office/drawing/2014/chart" uri="{C3380CC4-5D6E-409C-BE32-E72D297353CC}">
              <c16:uniqueId val="{00000000-E629-46CE-9682-25D8E6EAD8DA}"/>
            </c:ext>
          </c:extLst>
        </c:ser>
        <c:dLbls>
          <c:showLegendKey val="0"/>
          <c:showVal val="0"/>
          <c:showCatName val="0"/>
          <c:showSerName val="0"/>
          <c:showPercent val="0"/>
          <c:showBubbleSize val="0"/>
        </c:dLbls>
        <c:gapWidth val="150"/>
        <c:overlap val="100"/>
        <c:axId val="303816016"/>
        <c:axId val="303810608"/>
      </c:barChart>
      <c:catAx>
        <c:axId val="3038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10608"/>
        <c:crosses val="autoZero"/>
        <c:auto val="1"/>
        <c:lblAlgn val="ctr"/>
        <c:lblOffset val="100"/>
        <c:noMultiLvlLbl val="0"/>
      </c:catAx>
      <c:valAx>
        <c:axId val="303810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1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Table!Stress Level vs Sleep Quality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Stress Level vs Sleep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Table'!$G$15</c:f>
              <c:strCache>
                <c:ptCount val="1"/>
                <c:pt idx="0">
                  <c:v>Total</c:v>
                </c:pt>
              </c:strCache>
            </c:strRef>
          </c:tx>
          <c:spPr>
            <a:ln w="28575" cap="rnd">
              <a:solidFill>
                <a:schemeClr val="accent1"/>
              </a:solidFill>
              <a:round/>
            </a:ln>
            <a:effectLst/>
          </c:spPr>
          <c:marker>
            <c:symbol val="none"/>
          </c:marker>
          <c:cat>
            <c:strRef>
              <c:f>'Pivot Table'!$F$16:$F$22</c:f>
              <c:strCache>
                <c:ptCount val="6"/>
                <c:pt idx="0">
                  <c:v>3</c:v>
                </c:pt>
                <c:pt idx="1">
                  <c:v>4</c:v>
                </c:pt>
                <c:pt idx="2">
                  <c:v>5</c:v>
                </c:pt>
                <c:pt idx="3">
                  <c:v>6</c:v>
                </c:pt>
                <c:pt idx="4">
                  <c:v>7</c:v>
                </c:pt>
                <c:pt idx="5">
                  <c:v>8</c:v>
                </c:pt>
              </c:strCache>
            </c:strRef>
          </c:cat>
          <c:val>
            <c:numRef>
              <c:f>'Pivot Table'!$G$16:$G$22</c:f>
              <c:numCache>
                <c:formatCode>0.0</c:formatCode>
                <c:ptCount val="6"/>
                <c:pt idx="0">
                  <c:v>8.9718309859154921</c:v>
                </c:pt>
                <c:pt idx="1">
                  <c:v>7.6714285714285717</c:v>
                </c:pt>
                <c:pt idx="2">
                  <c:v>7.8955223880597014</c:v>
                </c:pt>
                <c:pt idx="3">
                  <c:v>7</c:v>
                </c:pt>
                <c:pt idx="4">
                  <c:v>6</c:v>
                </c:pt>
                <c:pt idx="5">
                  <c:v>5.8571428571428568</c:v>
                </c:pt>
              </c:numCache>
            </c:numRef>
          </c:val>
          <c:smooth val="0"/>
          <c:extLst>
            <c:ext xmlns:c16="http://schemas.microsoft.com/office/drawing/2014/chart" uri="{C3380CC4-5D6E-409C-BE32-E72D297353CC}">
              <c16:uniqueId val="{00000000-5194-4F9F-8882-95A99EEC3B66}"/>
            </c:ext>
          </c:extLst>
        </c:ser>
        <c:dLbls>
          <c:showLegendKey val="0"/>
          <c:showVal val="0"/>
          <c:showCatName val="0"/>
          <c:showSerName val="0"/>
          <c:showPercent val="0"/>
          <c:showBubbleSize val="0"/>
        </c:dLbls>
        <c:smooth val="0"/>
        <c:axId val="1542456064"/>
        <c:axId val="1542458976"/>
      </c:lineChart>
      <c:catAx>
        <c:axId val="154245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58976"/>
        <c:crosses val="autoZero"/>
        <c:auto val="1"/>
        <c:lblAlgn val="ctr"/>
        <c:lblOffset val="100"/>
        <c:noMultiLvlLbl val="0"/>
      </c:catAx>
      <c:valAx>
        <c:axId val="1542458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5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Table!Sleep Disorder Count by BMI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Sleep Disorder Count by BMI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Table'!$L$35:$L$36</c:f>
              <c:strCache>
                <c:ptCount val="1"/>
                <c:pt idx="0">
                  <c:v>Insomnia</c:v>
                </c:pt>
              </c:strCache>
            </c:strRef>
          </c:tx>
          <c:spPr>
            <a:solidFill>
              <a:schemeClr val="accent1"/>
            </a:solidFill>
            <a:ln>
              <a:noFill/>
            </a:ln>
            <a:effectLst/>
          </c:spPr>
          <c:invertIfNegative val="0"/>
          <c:cat>
            <c:strRef>
              <c:f>'Pivot Table'!$K$37:$K$41</c:f>
              <c:strCache>
                <c:ptCount val="4"/>
                <c:pt idx="0">
                  <c:v>Normal</c:v>
                </c:pt>
                <c:pt idx="1">
                  <c:v>Normal Weight</c:v>
                </c:pt>
                <c:pt idx="2">
                  <c:v>Obese</c:v>
                </c:pt>
                <c:pt idx="3">
                  <c:v>Overweight</c:v>
                </c:pt>
              </c:strCache>
            </c:strRef>
          </c:cat>
          <c:val>
            <c:numRef>
              <c:f>'Pivot Table'!$L$37:$L$41</c:f>
              <c:numCache>
                <c:formatCode>General</c:formatCode>
                <c:ptCount val="4"/>
                <c:pt idx="0">
                  <c:v>7</c:v>
                </c:pt>
                <c:pt idx="1">
                  <c:v>2</c:v>
                </c:pt>
                <c:pt idx="2">
                  <c:v>4</c:v>
                </c:pt>
                <c:pt idx="3">
                  <c:v>64</c:v>
                </c:pt>
              </c:numCache>
            </c:numRef>
          </c:val>
          <c:extLst>
            <c:ext xmlns:c16="http://schemas.microsoft.com/office/drawing/2014/chart" uri="{C3380CC4-5D6E-409C-BE32-E72D297353CC}">
              <c16:uniqueId val="{00000000-8407-44BA-96D5-7CBE77A3667E}"/>
            </c:ext>
          </c:extLst>
        </c:ser>
        <c:ser>
          <c:idx val="1"/>
          <c:order val="1"/>
          <c:tx>
            <c:strRef>
              <c:f>'Pivot Table'!$M$35:$M$36</c:f>
              <c:strCache>
                <c:ptCount val="1"/>
                <c:pt idx="0">
                  <c:v>None</c:v>
                </c:pt>
              </c:strCache>
            </c:strRef>
          </c:tx>
          <c:spPr>
            <a:solidFill>
              <a:schemeClr val="accent2"/>
            </a:solidFill>
            <a:ln>
              <a:noFill/>
            </a:ln>
            <a:effectLst/>
          </c:spPr>
          <c:invertIfNegative val="0"/>
          <c:cat>
            <c:strRef>
              <c:f>'Pivot Table'!$K$37:$K$41</c:f>
              <c:strCache>
                <c:ptCount val="4"/>
                <c:pt idx="0">
                  <c:v>Normal</c:v>
                </c:pt>
                <c:pt idx="1">
                  <c:v>Normal Weight</c:v>
                </c:pt>
                <c:pt idx="2">
                  <c:v>Obese</c:v>
                </c:pt>
                <c:pt idx="3">
                  <c:v>Overweight</c:v>
                </c:pt>
              </c:strCache>
            </c:strRef>
          </c:cat>
          <c:val>
            <c:numRef>
              <c:f>'Pivot Table'!$M$37:$M$41</c:f>
              <c:numCache>
                <c:formatCode>General</c:formatCode>
                <c:ptCount val="4"/>
                <c:pt idx="0">
                  <c:v>183</c:v>
                </c:pt>
                <c:pt idx="1">
                  <c:v>17</c:v>
                </c:pt>
                <c:pt idx="3">
                  <c:v>19</c:v>
                </c:pt>
              </c:numCache>
            </c:numRef>
          </c:val>
          <c:extLst>
            <c:ext xmlns:c16="http://schemas.microsoft.com/office/drawing/2014/chart" uri="{C3380CC4-5D6E-409C-BE32-E72D297353CC}">
              <c16:uniqueId val="{0000000C-8407-44BA-96D5-7CBE77A3667E}"/>
            </c:ext>
          </c:extLst>
        </c:ser>
        <c:ser>
          <c:idx val="2"/>
          <c:order val="2"/>
          <c:tx>
            <c:strRef>
              <c:f>'Pivot Table'!$N$35:$N$36</c:f>
              <c:strCache>
                <c:ptCount val="1"/>
                <c:pt idx="0">
                  <c:v>Sleep Apnea</c:v>
                </c:pt>
              </c:strCache>
            </c:strRef>
          </c:tx>
          <c:spPr>
            <a:solidFill>
              <a:schemeClr val="accent3"/>
            </a:solidFill>
            <a:ln>
              <a:noFill/>
            </a:ln>
            <a:effectLst/>
          </c:spPr>
          <c:invertIfNegative val="0"/>
          <c:cat>
            <c:strRef>
              <c:f>'Pivot Table'!$K$37:$K$41</c:f>
              <c:strCache>
                <c:ptCount val="4"/>
                <c:pt idx="0">
                  <c:v>Normal</c:v>
                </c:pt>
                <c:pt idx="1">
                  <c:v>Normal Weight</c:v>
                </c:pt>
                <c:pt idx="2">
                  <c:v>Obese</c:v>
                </c:pt>
                <c:pt idx="3">
                  <c:v>Overweight</c:v>
                </c:pt>
              </c:strCache>
            </c:strRef>
          </c:cat>
          <c:val>
            <c:numRef>
              <c:f>'Pivot Table'!$N$37:$N$41</c:f>
              <c:numCache>
                <c:formatCode>General</c:formatCode>
                <c:ptCount val="4"/>
                <c:pt idx="0">
                  <c:v>5</c:v>
                </c:pt>
                <c:pt idx="1">
                  <c:v>2</c:v>
                </c:pt>
                <c:pt idx="2">
                  <c:v>6</c:v>
                </c:pt>
                <c:pt idx="3">
                  <c:v>65</c:v>
                </c:pt>
              </c:numCache>
            </c:numRef>
          </c:val>
          <c:extLst>
            <c:ext xmlns:c16="http://schemas.microsoft.com/office/drawing/2014/chart" uri="{C3380CC4-5D6E-409C-BE32-E72D297353CC}">
              <c16:uniqueId val="{0000000D-8407-44BA-96D5-7CBE77A3667E}"/>
            </c:ext>
          </c:extLst>
        </c:ser>
        <c:dLbls>
          <c:showLegendKey val="0"/>
          <c:showVal val="0"/>
          <c:showCatName val="0"/>
          <c:showSerName val="0"/>
          <c:showPercent val="0"/>
          <c:showBubbleSize val="0"/>
        </c:dLbls>
        <c:gapWidth val="219"/>
        <c:overlap val="-27"/>
        <c:axId val="957000272"/>
        <c:axId val="957009008"/>
      </c:barChart>
      <c:catAx>
        <c:axId val="9570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9008"/>
        <c:crosses val="autoZero"/>
        <c:auto val="1"/>
        <c:lblAlgn val="ctr"/>
        <c:lblOffset val="100"/>
        <c:noMultiLvlLbl val="0"/>
      </c:catAx>
      <c:valAx>
        <c:axId val="9570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Table!Occupation vs Average Sleep Duration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Occupation vs Average Sleep Duration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Table'!$S$55</c:f>
              <c:strCache>
                <c:ptCount val="1"/>
                <c:pt idx="0">
                  <c:v>Total</c:v>
                </c:pt>
              </c:strCache>
            </c:strRef>
          </c:tx>
          <c:spPr>
            <a:solidFill>
              <a:schemeClr val="accent1"/>
            </a:solidFill>
            <a:ln>
              <a:noFill/>
            </a:ln>
            <a:effectLst/>
          </c:spPr>
          <c:invertIfNegative val="0"/>
          <c:cat>
            <c:strRef>
              <c:f>'Pivot Table'!$R$56:$R$67</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Table'!$S$56:$S$67</c:f>
              <c:numCache>
                <c:formatCode>General</c:formatCode>
                <c:ptCount val="11"/>
                <c:pt idx="0">
                  <c:v>263.2</c:v>
                </c:pt>
                <c:pt idx="1">
                  <c:v>494.90000000000003</c:v>
                </c:pt>
                <c:pt idx="2">
                  <c:v>503.19999999999982</c:v>
                </c:pt>
                <c:pt idx="3">
                  <c:v>348.29999999999995</c:v>
                </c:pt>
                <c:pt idx="4">
                  <c:v>6.9</c:v>
                </c:pt>
                <c:pt idx="5">
                  <c:v>515.6</c:v>
                </c:pt>
                <c:pt idx="6">
                  <c:v>11.8</c:v>
                </c:pt>
                <c:pt idx="7">
                  <c:v>204.90000000000012</c:v>
                </c:pt>
                <c:pt idx="8">
                  <c:v>24</c:v>
                </c:pt>
                <c:pt idx="9">
                  <c:v>27</c:v>
                </c:pt>
                <c:pt idx="10">
                  <c:v>267.60000000000002</c:v>
                </c:pt>
              </c:numCache>
            </c:numRef>
          </c:val>
          <c:extLst>
            <c:ext xmlns:c16="http://schemas.microsoft.com/office/drawing/2014/chart" uri="{C3380CC4-5D6E-409C-BE32-E72D297353CC}">
              <c16:uniqueId val="{00000000-84A2-4DFC-9446-7D361488B9C0}"/>
            </c:ext>
          </c:extLst>
        </c:ser>
        <c:dLbls>
          <c:showLegendKey val="0"/>
          <c:showVal val="0"/>
          <c:showCatName val="0"/>
          <c:showSerName val="0"/>
          <c:showPercent val="0"/>
          <c:showBubbleSize val="0"/>
        </c:dLbls>
        <c:gapWidth val="182"/>
        <c:axId val="1544173920"/>
        <c:axId val="1544175168"/>
      </c:barChart>
      <c:catAx>
        <c:axId val="154417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75168"/>
        <c:crosses val="autoZero"/>
        <c:auto val="1"/>
        <c:lblAlgn val="ctr"/>
        <c:lblOffset val="100"/>
        <c:noMultiLvlLbl val="0"/>
      </c:catAx>
      <c:valAx>
        <c:axId val="154417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7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Table!Ratio of Sleep Disorder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Ratio of Sleep Disorder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Table'!$Y$81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D6-4873-970A-955168E18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D6-4873-970A-955168E18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D6-4873-970A-955168E18AD1}"/>
              </c:ext>
            </c:extLst>
          </c:dPt>
          <c:cat>
            <c:strRef>
              <c:f>'Pivot Table'!$X$82:$X$85</c:f>
              <c:strCache>
                <c:ptCount val="3"/>
                <c:pt idx="0">
                  <c:v>Insomnia</c:v>
                </c:pt>
                <c:pt idx="1">
                  <c:v>None</c:v>
                </c:pt>
                <c:pt idx="2">
                  <c:v>Sleep Apnea</c:v>
                </c:pt>
              </c:strCache>
            </c:strRef>
          </c:cat>
          <c:val>
            <c:numRef>
              <c:f>'Pivot Table'!$Y$82:$Y$85</c:f>
              <c:numCache>
                <c:formatCode>General</c:formatCode>
                <c:ptCount val="3"/>
                <c:pt idx="0">
                  <c:v>77</c:v>
                </c:pt>
                <c:pt idx="1">
                  <c:v>219</c:v>
                </c:pt>
                <c:pt idx="2">
                  <c:v>78</c:v>
                </c:pt>
              </c:numCache>
            </c:numRef>
          </c:val>
          <c:extLst>
            <c:ext xmlns:c16="http://schemas.microsoft.com/office/drawing/2014/chart" uri="{C3380CC4-5D6E-409C-BE32-E72D297353CC}">
              <c16:uniqueId val="{00000000-D477-4CEF-9440-CCC7B6C0FF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Table!Ratio of Sleep Disorder</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solidFill>
                  <a:schemeClr val="tx1">
                    <a:lumMod val="65000"/>
                    <a:lumOff val="35000"/>
                  </a:schemeClr>
                </a:solidFill>
                <a:latin typeface="Times New Roman" panose="02020603050405020304" pitchFamily="18" charset="0"/>
                <a:cs typeface="Times New Roman" panose="02020603050405020304" pitchFamily="18" charset="0"/>
              </a:rPr>
              <a:t>Ratio of Sleep Disorder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F789C8"/>
          </a:solidFill>
          <a:ln>
            <a:solidFill>
              <a:srgbClr val="F789C8"/>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Table'!$Y$81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AD0-4D5B-846E-8665A7558C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D0-4D5B-846E-8665A7558CD0}"/>
              </c:ext>
            </c:extLst>
          </c:dPt>
          <c:dPt>
            <c:idx val="2"/>
            <c:bubble3D val="0"/>
            <c:spPr>
              <a:solidFill>
                <a:srgbClr val="F789C8"/>
              </a:solidFill>
              <a:ln>
                <a:solidFill>
                  <a:srgbClr val="F789C8"/>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AD0-4D5B-846E-8665A7558C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Table'!$X$82:$X$85</c:f>
              <c:strCache>
                <c:ptCount val="3"/>
                <c:pt idx="0">
                  <c:v>Insomnia</c:v>
                </c:pt>
                <c:pt idx="1">
                  <c:v>None</c:v>
                </c:pt>
                <c:pt idx="2">
                  <c:v>Sleep Apnea</c:v>
                </c:pt>
              </c:strCache>
            </c:strRef>
          </c:cat>
          <c:val>
            <c:numRef>
              <c:f>'Pivot Table'!$Y$82:$Y$85</c:f>
              <c:numCache>
                <c:formatCode>General</c:formatCode>
                <c:ptCount val="3"/>
                <c:pt idx="0">
                  <c:v>77</c:v>
                </c:pt>
                <c:pt idx="1">
                  <c:v>219</c:v>
                </c:pt>
                <c:pt idx="2">
                  <c:v>78</c:v>
                </c:pt>
              </c:numCache>
            </c:numRef>
          </c:val>
          <c:extLst>
            <c:ext xmlns:c16="http://schemas.microsoft.com/office/drawing/2014/chart" uri="{C3380CC4-5D6E-409C-BE32-E72D297353CC}">
              <c16:uniqueId val="{00000006-AAD0-4D5B-846E-8665A7558C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Table!Average Sleep Duration by Gender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Average Sleep Duration by Gender</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19054865072482235"/>
          <c:y val="8.3322081686443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0.0</c:formatCode>
                <c:ptCount val="2"/>
                <c:pt idx="0">
                  <c:v>1337.4999999999998</c:v>
                </c:pt>
                <c:pt idx="1">
                  <c:v>1329.8999999999994</c:v>
                </c:pt>
              </c:numCache>
            </c:numRef>
          </c:val>
          <c:extLst>
            <c:ext xmlns:c16="http://schemas.microsoft.com/office/drawing/2014/chart" uri="{C3380CC4-5D6E-409C-BE32-E72D297353CC}">
              <c16:uniqueId val="{00000000-38CE-4C69-B6E6-89CB3F3050CD}"/>
            </c:ext>
          </c:extLst>
        </c:ser>
        <c:dLbls>
          <c:showLegendKey val="0"/>
          <c:showVal val="0"/>
          <c:showCatName val="0"/>
          <c:showSerName val="0"/>
          <c:showPercent val="0"/>
          <c:showBubbleSize val="0"/>
        </c:dLbls>
        <c:gapWidth val="150"/>
        <c:overlap val="100"/>
        <c:axId val="303816016"/>
        <c:axId val="303810608"/>
      </c:barChart>
      <c:catAx>
        <c:axId val="3038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10608"/>
        <c:crosses val="autoZero"/>
        <c:auto val="1"/>
        <c:lblAlgn val="ctr"/>
        <c:lblOffset val="100"/>
        <c:noMultiLvlLbl val="0"/>
      </c:catAx>
      <c:valAx>
        <c:axId val="303810608"/>
        <c:scaling>
          <c:orientation val="minMax"/>
        </c:scaling>
        <c:delete val="0"/>
        <c:axPos val="l"/>
        <c:majorGridlines>
          <c:spPr>
            <a:ln w="9525" cap="flat" cmpd="sng" algn="ctr">
              <a:solidFill>
                <a:schemeClr val="tx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1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[sleep pro excel.xlsx]Pivot Table!Stress Level vs Sleep Quality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50000"/>
                    <a:lumOff val="50000"/>
                  </a:schemeClr>
                </a:solidFill>
                <a:latin typeface="Times New Roman" panose="02020603050405020304" pitchFamily="18" charset="0"/>
                <a:cs typeface="Times New Roman" panose="02020603050405020304" pitchFamily="18" charset="0"/>
              </a:rPr>
              <a:t>Stress Level vs Sleep Quality</a:t>
            </a:r>
            <a:endParaRPr lang="en-US" b="1">
              <a:solidFill>
                <a:schemeClr val="tx1">
                  <a:lumMod val="50000"/>
                  <a:lumOff val="50000"/>
                </a:schemeClr>
              </a:solidFill>
              <a:latin typeface="Times New Roman" panose="02020603050405020304" pitchFamily="18" charset="0"/>
              <a:cs typeface="Times New Roman" panose="02020603050405020304" pitchFamily="18" charset="0"/>
            </a:endParaRPr>
          </a:p>
        </c:rich>
      </c:tx>
      <c:layout>
        <c:manualLayout>
          <c:xMode val="edge"/>
          <c:yMode val="edge"/>
          <c:x val="0.24249597832529002"/>
          <c:y val="4.3835654264398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s>
    <c:plotArea>
      <c:layout/>
      <c:lineChart>
        <c:grouping val="standard"/>
        <c:varyColors val="0"/>
        <c:ser>
          <c:idx val="0"/>
          <c:order val="0"/>
          <c:tx>
            <c:strRef>
              <c:f>'Pivot Table'!$G$15</c:f>
              <c:strCache>
                <c:ptCount val="1"/>
                <c:pt idx="0">
                  <c:v>Total</c:v>
                </c:pt>
              </c:strCache>
            </c:strRef>
          </c:tx>
          <c:spPr>
            <a:ln w="28575" cap="rnd">
              <a:solidFill>
                <a:schemeClr val="accent2"/>
              </a:solidFill>
              <a:round/>
            </a:ln>
            <a:effectLst/>
          </c:spPr>
          <c:marker>
            <c:symbol val="none"/>
          </c:marker>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3-7F90-42B8-A4FE-5DE4EEE0E530}"/>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2-7F90-42B8-A4FE-5DE4EEE0E530}"/>
              </c:ext>
            </c:extLst>
          </c:dPt>
          <c:cat>
            <c:strRef>
              <c:f>'Pivot Table'!$F$16:$F$22</c:f>
              <c:strCache>
                <c:ptCount val="6"/>
                <c:pt idx="0">
                  <c:v>3</c:v>
                </c:pt>
                <c:pt idx="1">
                  <c:v>4</c:v>
                </c:pt>
                <c:pt idx="2">
                  <c:v>5</c:v>
                </c:pt>
                <c:pt idx="3">
                  <c:v>6</c:v>
                </c:pt>
                <c:pt idx="4">
                  <c:v>7</c:v>
                </c:pt>
                <c:pt idx="5">
                  <c:v>8</c:v>
                </c:pt>
              </c:strCache>
            </c:strRef>
          </c:cat>
          <c:val>
            <c:numRef>
              <c:f>'Pivot Table'!$G$16:$G$22</c:f>
              <c:numCache>
                <c:formatCode>0.0</c:formatCode>
                <c:ptCount val="6"/>
                <c:pt idx="0">
                  <c:v>8.9718309859154921</c:v>
                </c:pt>
                <c:pt idx="1">
                  <c:v>7.6714285714285717</c:v>
                </c:pt>
                <c:pt idx="2">
                  <c:v>7.8955223880597014</c:v>
                </c:pt>
                <c:pt idx="3">
                  <c:v>7</c:v>
                </c:pt>
                <c:pt idx="4">
                  <c:v>6</c:v>
                </c:pt>
                <c:pt idx="5">
                  <c:v>5.8571428571428568</c:v>
                </c:pt>
              </c:numCache>
            </c:numRef>
          </c:val>
          <c:smooth val="0"/>
          <c:extLst>
            <c:ext xmlns:c16="http://schemas.microsoft.com/office/drawing/2014/chart" uri="{C3380CC4-5D6E-409C-BE32-E72D297353CC}">
              <c16:uniqueId val="{00000000-7F90-42B8-A4FE-5DE4EEE0E530}"/>
            </c:ext>
          </c:extLst>
        </c:ser>
        <c:dLbls>
          <c:showLegendKey val="0"/>
          <c:showVal val="0"/>
          <c:showCatName val="0"/>
          <c:showSerName val="0"/>
          <c:showPercent val="0"/>
          <c:showBubbleSize val="0"/>
        </c:dLbls>
        <c:smooth val="0"/>
        <c:axId val="1542456064"/>
        <c:axId val="1542458976"/>
      </c:lineChart>
      <c:catAx>
        <c:axId val="154245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58976"/>
        <c:crosses val="autoZero"/>
        <c:auto val="1"/>
        <c:lblAlgn val="ctr"/>
        <c:lblOffset val="100"/>
        <c:noMultiLvlLbl val="0"/>
      </c:catAx>
      <c:valAx>
        <c:axId val="1542458976"/>
        <c:scaling>
          <c:orientation val="minMax"/>
        </c:scaling>
        <c:delete val="0"/>
        <c:axPos val="l"/>
        <c:majorGridlines>
          <c:spPr>
            <a:ln w="9525" cap="flat" cmpd="sng" algn="ctr">
              <a:solidFill>
                <a:schemeClr val="tx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45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[sleep pro excel.xlsx]Pivot Table!Sleep Disorder Count by BMI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Times New Roman" panose="02020603050405020304" pitchFamily="18" charset="0"/>
                <a:cs typeface="Times New Roman" panose="02020603050405020304" pitchFamily="18" charset="0"/>
              </a:rPr>
              <a:t>Sleep Disorder Count by BMI Category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Table'!$L$35:$L$36</c:f>
              <c:strCache>
                <c:ptCount val="1"/>
                <c:pt idx="0">
                  <c:v>Insomnia</c:v>
                </c:pt>
              </c:strCache>
            </c:strRef>
          </c:tx>
          <c:spPr>
            <a:solidFill>
              <a:schemeClr val="accent1"/>
            </a:solidFill>
            <a:ln>
              <a:noFill/>
            </a:ln>
            <a:effectLst/>
          </c:spPr>
          <c:invertIfNegative val="0"/>
          <c:cat>
            <c:strRef>
              <c:f>'Pivot Table'!$K$37:$K$41</c:f>
              <c:strCache>
                <c:ptCount val="4"/>
                <c:pt idx="0">
                  <c:v>Normal</c:v>
                </c:pt>
                <c:pt idx="1">
                  <c:v>Normal Weight</c:v>
                </c:pt>
                <c:pt idx="2">
                  <c:v>Obese</c:v>
                </c:pt>
                <c:pt idx="3">
                  <c:v>Overweight</c:v>
                </c:pt>
              </c:strCache>
            </c:strRef>
          </c:cat>
          <c:val>
            <c:numRef>
              <c:f>'Pivot Table'!$L$37:$L$41</c:f>
              <c:numCache>
                <c:formatCode>General</c:formatCode>
                <c:ptCount val="4"/>
                <c:pt idx="0">
                  <c:v>7</c:v>
                </c:pt>
                <c:pt idx="1">
                  <c:v>2</c:v>
                </c:pt>
                <c:pt idx="2">
                  <c:v>4</c:v>
                </c:pt>
                <c:pt idx="3">
                  <c:v>64</c:v>
                </c:pt>
              </c:numCache>
            </c:numRef>
          </c:val>
          <c:extLst>
            <c:ext xmlns:c16="http://schemas.microsoft.com/office/drawing/2014/chart" uri="{C3380CC4-5D6E-409C-BE32-E72D297353CC}">
              <c16:uniqueId val="{00000000-99FC-4D5E-A6E9-FC9E944C3327}"/>
            </c:ext>
          </c:extLst>
        </c:ser>
        <c:ser>
          <c:idx val="1"/>
          <c:order val="1"/>
          <c:tx>
            <c:strRef>
              <c:f>'Pivot Table'!$M$35:$M$36</c:f>
              <c:strCache>
                <c:ptCount val="1"/>
                <c:pt idx="0">
                  <c:v>None</c:v>
                </c:pt>
              </c:strCache>
            </c:strRef>
          </c:tx>
          <c:spPr>
            <a:solidFill>
              <a:schemeClr val="accent2"/>
            </a:solidFill>
            <a:ln>
              <a:noFill/>
            </a:ln>
            <a:effectLst/>
          </c:spPr>
          <c:invertIfNegative val="0"/>
          <c:cat>
            <c:strRef>
              <c:f>'Pivot Table'!$K$37:$K$41</c:f>
              <c:strCache>
                <c:ptCount val="4"/>
                <c:pt idx="0">
                  <c:v>Normal</c:v>
                </c:pt>
                <c:pt idx="1">
                  <c:v>Normal Weight</c:v>
                </c:pt>
                <c:pt idx="2">
                  <c:v>Obese</c:v>
                </c:pt>
                <c:pt idx="3">
                  <c:v>Overweight</c:v>
                </c:pt>
              </c:strCache>
            </c:strRef>
          </c:cat>
          <c:val>
            <c:numRef>
              <c:f>'Pivot Table'!$M$37:$M$41</c:f>
              <c:numCache>
                <c:formatCode>General</c:formatCode>
                <c:ptCount val="4"/>
                <c:pt idx="0">
                  <c:v>183</c:v>
                </c:pt>
                <c:pt idx="1">
                  <c:v>17</c:v>
                </c:pt>
                <c:pt idx="3">
                  <c:v>19</c:v>
                </c:pt>
              </c:numCache>
            </c:numRef>
          </c:val>
          <c:extLst>
            <c:ext xmlns:c16="http://schemas.microsoft.com/office/drawing/2014/chart" uri="{C3380CC4-5D6E-409C-BE32-E72D297353CC}">
              <c16:uniqueId val="{0000000C-99FC-4D5E-A6E9-FC9E944C3327}"/>
            </c:ext>
          </c:extLst>
        </c:ser>
        <c:ser>
          <c:idx val="2"/>
          <c:order val="2"/>
          <c:tx>
            <c:strRef>
              <c:f>'Pivot Table'!$N$35:$N$36</c:f>
              <c:strCache>
                <c:ptCount val="1"/>
                <c:pt idx="0">
                  <c:v>Sleep Apnea</c:v>
                </c:pt>
              </c:strCache>
            </c:strRef>
          </c:tx>
          <c:spPr>
            <a:solidFill>
              <a:schemeClr val="accent6">
                <a:lumMod val="75000"/>
              </a:schemeClr>
            </a:solidFill>
            <a:ln>
              <a:noFill/>
            </a:ln>
            <a:effectLst/>
          </c:spPr>
          <c:invertIfNegative val="0"/>
          <c:cat>
            <c:strRef>
              <c:f>'Pivot Table'!$K$37:$K$41</c:f>
              <c:strCache>
                <c:ptCount val="4"/>
                <c:pt idx="0">
                  <c:v>Normal</c:v>
                </c:pt>
                <c:pt idx="1">
                  <c:v>Normal Weight</c:v>
                </c:pt>
                <c:pt idx="2">
                  <c:v>Obese</c:v>
                </c:pt>
                <c:pt idx="3">
                  <c:v>Overweight</c:v>
                </c:pt>
              </c:strCache>
            </c:strRef>
          </c:cat>
          <c:val>
            <c:numRef>
              <c:f>'Pivot Table'!$N$37:$N$41</c:f>
              <c:numCache>
                <c:formatCode>General</c:formatCode>
                <c:ptCount val="4"/>
                <c:pt idx="0">
                  <c:v>5</c:v>
                </c:pt>
                <c:pt idx="1">
                  <c:v>2</c:v>
                </c:pt>
                <c:pt idx="2">
                  <c:v>6</c:v>
                </c:pt>
                <c:pt idx="3">
                  <c:v>65</c:v>
                </c:pt>
              </c:numCache>
            </c:numRef>
          </c:val>
          <c:extLst>
            <c:ext xmlns:c16="http://schemas.microsoft.com/office/drawing/2014/chart" uri="{C3380CC4-5D6E-409C-BE32-E72D297353CC}">
              <c16:uniqueId val="{0000000D-99FC-4D5E-A6E9-FC9E944C3327}"/>
            </c:ext>
          </c:extLst>
        </c:ser>
        <c:dLbls>
          <c:showLegendKey val="0"/>
          <c:showVal val="0"/>
          <c:showCatName val="0"/>
          <c:showSerName val="0"/>
          <c:showPercent val="0"/>
          <c:showBubbleSize val="0"/>
        </c:dLbls>
        <c:gapWidth val="219"/>
        <c:overlap val="-27"/>
        <c:axId val="957000272"/>
        <c:axId val="957009008"/>
      </c:barChart>
      <c:catAx>
        <c:axId val="9570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9008"/>
        <c:crosses val="autoZero"/>
        <c:auto val="1"/>
        <c:lblAlgn val="ctr"/>
        <c:lblOffset val="100"/>
        <c:noMultiLvlLbl val="0"/>
      </c:catAx>
      <c:valAx>
        <c:axId val="9570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0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[sleep pro excel.xlsx]Pivot Table!Occupation vs Average Sleep Duration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50000"/>
                    <a:lumOff val="50000"/>
                  </a:schemeClr>
                </a:solidFill>
                <a:latin typeface="Times New Roman" panose="02020603050405020304" pitchFamily="18" charset="0"/>
                <a:cs typeface="Times New Roman" panose="02020603050405020304" pitchFamily="18" charset="0"/>
              </a:rPr>
              <a:t>Occupation vs Average Sleep Duration</a:t>
            </a:r>
            <a:endParaRPr lang="en-US" b="1">
              <a:solidFill>
                <a:schemeClr val="tx1">
                  <a:lumMod val="50000"/>
                  <a:lumOff val="50000"/>
                </a:schemeClr>
              </a:solidFill>
              <a:latin typeface="Times New Roman" panose="02020603050405020304" pitchFamily="18" charset="0"/>
              <a:cs typeface="Times New Roman" panose="02020603050405020304" pitchFamily="18" charset="0"/>
            </a:endParaRPr>
          </a:p>
        </c:rich>
      </c:tx>
      <c:layout>
        <c:manualLayout>
          <c:xMode val="edge"/>
          <c:yMode val="edge"/>
          <c:x val="0.17113490310114113"/>
          <c:y val="4.9081904272238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Table'!$S$55</c:f>
              <c:strCache>
                <c:ptCount val="1"/>
                <c:pt idx="0">
                  <c:v>Total</c:v>
                </c:pt>
              </c:strCache>
            </c:strRef>
          </c:tx>
          <c:spPr>
            <a:solidFill>
              <a:schemeClr val="dk1">
                <a:tint val="88500"/>
              </a:schemeClr>
            </a:solidFill>
            <a:ln>
              <a:noFill/>
            </a:ln>
            <a:effectLst/>
          </c:spPr>
          <c:invertIfNegative val="0"/>
          <c:cat>
            <c:strRef>
              <c:f>'Pivot Table'!$R$56:$R$67</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Table'!$S$56:$S$67</c:f>
              <c:numCache>
                <c:formatCode>General</c:formatCode>
                <c:ptCount val="11"/>
                <c:pt idx="0">
                  <c:v>263.2</c:v>
                </c:pt>
                <c:pt idx="1">
                  <c:v>494.90000000000003</c:v>
                </c:pt>
                <c:pt idx="2">
                  <c:v>503.19999999999982</c:v>
                </c:pt>
                <c:pt idx="3">
                  <c:v>348.29999999999995</c:v>
                </c:pt>
                <c:pt idx="4">
                  <c:v>6.9</c:v>
                </c:pt>
                <c:pt idx="5">
                  <c:v>515.6</c:v>
                </c:pt>
                <c:pt idx="6">
                  <c:v>11.8</c:v>
                </c:pt>
                <c:pt idx="7">
                  <c:v>204.90000000000012</c:v>
                </c:pt>
                <c:pt idx="8">
                  <c:v>24</c:v>
                </c:pt>
                <c:pt idx="9">
                  <c:v>27</c:v>
                </c:pt>
                <c:pt idx="10">
                  <c:v>267.60000000000002</c:v>
                </c:pt>
              </c:numCache>
            </c:numRef>
          </c:val>
          <c:extLst>
            <c:ext xmlns:c16="http://schemas.microsoft.com/office/drawing/2014/chart" uri="{C3380CC4-5D6E-409C-BE32-E72D297353CC}">
              <c16:uniqueId val="{00000000-2FB7-49DB-866B-DB5334DA0E75}"/>
            </c:ext>
          </c:extLst>
        </c:ser>
        <c:dLbls>
          <c:showLegendKey val="0"/>
          <c:showVal val="0"/>
          <c:showCatName val="0"/>
          <c:showSerName val="0"/>
          <c:showPercent val="0"/>
          <c:showBubbleSize val="0"/>
        </c:dLbls>
        <c:gapWidth val="182"/>
        <c:axId val="1544173920"/>
        <c:axId val="1544175168"/>
      </c:barChart>
      <c:catAx>
        <c:axId val="154417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75168"/>
        <c:crosses val="autoZero"/>
        <c:auto val="1"/>
        <c:lblAlgn val="ctr"/>
        <c:lblOffset val="100"/>
        <c:noMultiLvlLbl val="0"/>
      </c:catAx>
      <c:valAx>
        <c:axId val="154417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7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FC9E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128587</xdr:rowOff>
    </xdr:from>
    <xdr:to>
      <xdr:col>4</xdr:col>
      <xdr:colOff>28574</xdr:colOff>
      <xdr:row>16</xdr:row>
      <xdr:rowOff>171450</xdr:rowOff>
    </xdr:to>
    <xdr:graphicFrame macro="">
      <xdr:nvGraphicFramePr>
        <xdr:cNvPr id="3" name="Average Sleep Duration by Gender">
          <a:extLst>
            <a:ext uri="{FF2B5EF4-FFF2-40B4-BE49-F238E27FC236}">
              <a16:creationId xmlns:a16="http://schemas.microsoft.com/office/drawing/2014/main" id="{2F112706-22B6-4BF6-A357-B9664AE48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22</xdr:row>
      <xdr:rowOff>52387</xdr:rowOff>
    </xdr:from>
    <xdr:to>
      <xdr:col>8</xdr:col>
      <xdr:colOff>276225</xdr:colOff>
      <xdr:row>34</xdr:row>
      <xdr:rowOff>142875</xdr:rowOff>
    </xdr:to>
    <xdr:graphicFrame macro="">
      <xdr:nvGraphicFramePr>
        <xdr:cNvPr id="2" name="Stress Level vs Sleep Quality">
          <a:extLst>
            <a:ext uri="{FF2B5EF4-FFF2-40B4-BE49-F238E27FC236}">
              <a16:creationId xmlns:a16="http://schemas.microsoft.com/office/drawing/2014/main" id="{3A3F9F99-86C3-4253-8A72-284F2A1AA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542925</xdr:colOff>
      <xdr:row>41</xdr:row>
      <xdr:rowOff>61912</xdr:rowOff>
    </xdr:from>
    <xdr:to>
      <xdr:col>15</xdr:col>
      <xdr:colOff>523875</xdr:colOff>
      <xdr:row>52</xdr:row>
      <xdr:rowOff>47625</xdr:rowOff>
    </xdr:to>
    <xdr:graphicFrame macro="">
      <xdr:nvGraphicFramePr>
        <xdr:cNvPr id="4" name="Sleep Disorder Count by BMI Category">
          <a:extLst>
            <a:ext uri="{FF2B5EF4-FFF2-40B4-BE49-F238E27FC236}">
              <a16:creationId xmlns:a16="http://schemas.microsoft.com/office/drawing/2014/main" id="{63D400C2-EE75-4A73-B806-9C34A7906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561975</xdr:colOff>
      <xdr:row>67</xdr:row>
      <xdr:rowOff>52387</xdr:rowOff>
    </xdr:from>
    <xdr:to>
      <xdr:col>21</xdr:col>
      <xdr:colOff>542925</xdr:colOff>
      <xdr:row>79</xdr:row>
      <xdr:rowOff>38100</xdr:rowOff>
    </xdr:to>
    <xdr:graphicFrame macro="">
      <xdr:nvGraphicFramePr>
        <xdr:cNvPr id="5" name="Occupation vs Average Sleep Duration">
          <a:extLst>
            <a:ext uri="{FF2B5EF4-FFF2-40B4-BE49-F238E27FC236}">
              <a16:creationId xmlns:a16="http://schemas.microsoft.com/office/drawing/2014/main" id="{317A82D9-4831-4272-AB0F-7FEC4D23C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314325</xdr:colOff>
      <xdr:row>85</xdr:row>
      <xdr:rowOff>33337</xdr:rowOff>
    </xdr:from>
    <xdr:to>
      <xdr:col>28</xdr:col>
      <xdr:colOff>390525</xdr:colOff>
      <xdr:row>97</xdr:row>
      <xdr:rowOff>38100</xdr:rowOff>
    </xdr:to>
    <xdr:graphicFrame macro="">
      <xdr:nvGraphicFramePr>
        <xdr:cNvPr id="6" name="Ratio of Sleep Disorder">
          <a:extLst>
            <a:ext uri="{FF2B5EF4-FFF2-40B4-BE49-F238E27FC236}">
              <a16:creationId xmlns:a16="http://schemas.microsoft.com/office/drawing/2014/main" id="{AC70C68D-524D-4FDA-83CE-2006187B7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581025</xdr:colOff>
      <xdr:row>43</xdr:row>
      <xdr:rowOff>47626</xdr:rowOff>
    </xdr:from>
    <xdr:to>
      <xdr:col>18</xdr:col>
      <xdr:colOff>476250</xdr:colOff>
      <xdr:row>49</xdr:row>
      <xdr:rowOff>66676</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687EA551-5DAF-4A9D-9BBB-DD27C86DA5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058900" y="8239126"/>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809625</xdr:colOff>
      <xdr:row>31</xdr:row>
      <xdr:rowOff>123825</xdr:rowOff>
    </xdr:from>
    <xdr:to>
      <xdr:col>21</xdr:col>
      <xdr:colOff>19050</xdr:colOff>
      <xdr:row>44</xdr:row>
      <xdr:rowOff>171450</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9E37EC8E-16B8-43C0-9180-5E097DF4AED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6221075" y="6029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209550</xdr:colOff>
      <xdr:row>41</xdr:row>
      <xdr:rowOff>9525</xdr:rowOff>
    </xdr:from>
    <xdr:to>
      <xdr:col>23</xdr:col>
      <xdr:colOff>819150</xdr:colOff>
      <xdr:row>54</xdr:row>
      <xdr:rowOff>57150</xdr:rowOff>
    </xdr:to>
    <mc:AlternateContent xmlns:mc="http://schemas.openxmlformats.org/markup-compatibility/2006" xmlns:a14="http://schemas.microsoft.com/office/drawing/2010/main">
      <mc:Choice Requires="a14">
        <xdr:graphicFrame macro="">
          <xdr:nvGraphicFramePr>
            <xdr:cNvPr id="9" name="Sleep Disorder">
              <a:extLst>
                <a:ext uri="{FF2B5EF4-FFF2-40B4-BE49-F238E27FC236}">
                  <a16:creationId xmlns:a16="http://schemas.microsoft.com/office/drawing/2014/main" id="{7332FBF2-3101-4775-8D39-4258A45DCA35}"/>
                </a:ext>
              </a:extLst>
            </xdr:cNvPr>
            <xdr:cNvGraphicFramePr/>
          </xdr:nvGraphicFramePr>
          <xdr:xfrm>
            <a:off x="0" y="0"/>
            <a:ext cx="0" cy="0"/>
          </xdr:xfrm>
          <a:graphic>
            <a:graphicData uri="http://schemas.microsoft.com/office/drawing/2010/slicer">
              <sle:slicer xmlns:sle="http://schemas.microsoft.com/office/drawing/2010/slicer" name="Sleep Disorder"/>
            </a:graphicData>
          </a:graphic>
        </xdr:graphicFrame>
      </mc:Choice>
      <mc:Fallback xmlns="">
        <xdr:sp macro="" textlink="">
          <xdr:nvSpPr>
            <xdr:cNvPr id="0" name=""/>
            <xdr:cNvSpPr>
              <a:spLocks noTextEdit="1"/>
            </xdr:cNvSpPr>
          </xdr:nvSpPr>
          <xdr:spPr>
            <a:xfrm>
              <a:off x="18240375" y="782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447675</xdr:colOff>
      <xdr:row>0</xdr:row>
      <xdr:rowOff>66676</xdr:rowOff>
    </xdr:from>
    <xdr:to>
      <xdr:col>20</xdr:col>
      <xdr:colOff>0</xdr:colOff>
      <xdr:row>26</xdr:row>
      <xdr:rowOff>180975</xdr:rowOff>
    </xdr:to>
    <xdr:sp macro="" textlink="">
      <xdr:nvSpPr>
        <xdr:cNvPr id="2" name="Rectangle 1">
          <a:extLst>
            <a:ext uri="{FF2B5EF4-FFF2-40B4-BE49-F238E27FC236}">
              <a16:creationId xmlns:a16="http://schemas.microsoft.com/office/drawing/2014/main" id="{FBC6F871-A908-4F3B-9EA6-5AD649360403}"/>
            </a:ext>
          </a:extLst>
        </xdr:cNvPr>
        <xdr:cNvSpPr/>
      </xdr:nvSpPr>
      <xdr:spPr>
        <a:xfrm>
          <a:off x="447675" y="66676"/>
          <a:ext cx="11744325" cy="5067299"/>
        </a:xfrm>
        <a:prstGeom prst="rect">
          <a:avLst/>
        </a:prstGeom>
        <a:gradFill flip="none" rotWithShape="1">
          <a:gsLst>
            <a:gs pos="54000">
              <a:srgbClr val="7030A0"/>
            </a:gs>
            <a:gs pos="9000">
              <a:srgbClr val="F789C8"/>
            </a:gs>
            <a:gs pos="90000">
              <a:schemeClr val="accent5">
                <a:lumMod val="60000"/>
                <a:lumOff val="40000"/>
              </a:schemeClr>
            </a:gs>
          </a:gsLst>
          <a:lin ang="81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542925</xdr:colOff>
      <xdr:row>16</xdr:row>
      <xdr:rowOff>142874</xdr:rowOff>
    </xdr:from>
    <xdr:to>
      <xdr:col>6</xdr:col>
      <xdr:colOff>161925</xdr:colOff>
      <xdr:row>26</xdr:row>
      <xdr:rowOff>119063</xdr:rowOff>
    </xdr:to>
    <xdr:graphicFrame macro="">
      <xdr:nvGraphicFramePr>
        <xdr:cNvPr id="3" name="Ratio of Sleep Disorder">
          <a:extLst>
            <a:ext uri="{FF2B5EF4-FFF2-40B4-BE49-F238E27FC236}">
              <a16:creationId xmlns:a16="http://schemas.microsoft.com/office/drawing/2014/main" id="{1ED250BF-A161-4280-A276-970411AD4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295274</xdr:colOff>
      <xdr:row>16</xdr:row>
      <xdr:rowOff>142874</xdr:rowOff>
    </xdr:from>
    <xdr:to>
      <xdr:col>13</xdr:col>
      <xdr:colOff>95249</xdr:colOff>
      <xdr:row>26</xdr:row>
      <xdr:rowOff>128587</xdr:rowOff>
    </xdr:to>
    <xdr:graphicFrame macro="">
      <xdr:nvGraphicFramePr>
        <xdr:cNvPr id="4" name="Average Sleep Duration by Gender">
          <a:extLst>
            <a:ext uri="{FF2B5EF4-FFF2-40B4-BE49-F238E27FC236}">
              <a16:creationId xmlns:a16="http://schemas.microsoft.com/office/drawing/2014/main" id="{3CE7B42B-B281-46E4-97F5-6ECF70824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495301</xdr:colOff>
      <xdr:row>3</xdr:row>
      <xdr:rowOff>171450</xdr:rowOff>
    </xdr:from>
    <xdr:to>
      <xdr:col>7</xdr:col>
      <xdr:colOff>276225</xdr:colOff>
      <xdr:row>12</xdr:row>
      <xdr:rowOff>80961</xdr:rowOff>
    </xdr:to>
    <xdr:graphicFrame macro="">
      <xdr:nvGraphicFramePr>
        <xdr:cNvPr id="5" name="Stress Level vs Sleep Quality">
          <a:extLst>
            <a:ext uri="{FF2B5EF4-FFF2-40B4-BE49-F238E27FC236}">
              <a16:creationId xmlns:a16="http://schemas.microsoft.com/office/drawing/2014/main" id="{69D4DEFC-16CE-44F0-968D-CA88161C9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13</xdr:row>
      <xdr:rowOff>133350</xdr:rowOff>
    </xdr:from>
    <xdr:to>
      <xdr:col>19</xdr:col>
      <xdr:colOff>533400</xdr:colOff>
      <xdr:row>26</xdr:row>
      <xdr:rowOff>114300</xdr:rowOff>
    </xdr:to>
    <xdr:graphicFrame macro="">
      <xdr:nvGraphicFramePr>
        <xdr:cNvPr id="6" name="Sleep Disorder Count by BMI Category">
          <a:extLst>
            <a:ext uri="{FF2B5EF4-FFF2-40B4-BE49-F238E27FC236}">
              <a16:creationId xmlns:a16="http://schemas.microsoft.com/office/drawing/2014/main" id="{9BD9A26D-AC8D-42F1-A8F5-27D492EB8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238125</xdr:colOff>
      <xdr:row>0</xdr:row>
      <xdr:rowOff>104775</xdr:rowOff>
    </xdr:from>
    <xdr:to>
      <xdr:col>19</xdr:col>
      <xdr:colOff>552450</xdr:colOff>
      <xdr:row>13</xdr:row>
      <xdr:rowOff>38100</xdr:rowOff>
    </xdr:to>
    <xdr:graphicFrame macro="">
      <xdr:nvGraphicFramePr>
        <xdr:cNvPr id="7" name="Occupation vs Average Sleep Duration">
          <a:extLst>
            <a:ext uri="{FF2B5EF4-FFF2-40B4-BE49-F238E27FC236}">
              <a16:creationId xmlns:a16="http://schemas.microsoft.com/office/drawing/2014/main" id="{C17D0E08-0ED0-4A75-8087-74065197C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352425</xdr:colOff>
      <xdr:row>2</xdr:row>
      <xdr:rowOff>9525</xdr:rowOff>
    </xdr:from>
    <xdr:to>
      <xdr:col>13</xdr:col>
      <xdr:colOff>19050</xdr:colOff>
      <xdr:row>5</xdr:row>
      <xdr:rowOff>161924</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F052153C-9278-464B-B095-C7AAA338F0B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448425" y="390525"/>
              <a:ext cx="1495425"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342900</xdr:colOff>
      <xdr:row>0</xdr:row>
      <xdr:rowOff>95250</xdr:rowOff>
    </xdr:from>
    <xdr:to>
      <xdr:col>12</xdr:col>
      <xdr:colOff>600075</xdr:colOff>
      <xdr:row>2</xdr:row>
      <xdr:rowOff>19050</xdr:rowOff>
    </xdr:to>
    <xdr:sp macro="" textlink="">
      <xdr:nvSpPr>
        <xdr:cNvPr id="10" name="TextBox 9">
          <a:extLst>
            <a:ext uri="{FF2B5EF4-FFF2-40B4-BE49-F238E27FC236}">
              <a16:creationId xmlns:a16="http://schemas.microsoft.com/office/drawing/2014/main" id="{90042CE9-D0C8-48C9-AFDD-1C8E85898E45}"/>
            </a:ext>
          </a:extLst>
        </xdr:cNvPr>
        <xdr:cNvSpPr txBox="1"/>
      </xdr:nvSpPr>
      <xdr:spPr>
        <a:xfrm>
          <a:off x="6438900" y="95250"/>
          <a:ext cx="1476375" cy="3048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Gender</a:t>
          </a:r>
        </a:p>
      </xdr:txBody>
    </xdr:sp>
    <xdr:clientData/>
  </xdr:twoCellAnchor>
  <xdr:twoCellAnchor editAs="oneCell">
    <xdr:from>
      <xdr:col>7</xdr:col>
      <xdr:colOff>409575</xdr:colOff>
      <xdr:row>2</xdr:row>
      <xdr:rowOff>19050</xdr:rowOff>
    </xdr:from>
    <xdr:to>
      <xdr:col>10</xdr:col>
      <xdr:colOff>276224</xdr:colOff>
      <xdr:row>12</xdr:row>
      <xdr:rowOff>142875</xdr:rowOff>
    </xdr:to>
    <mc:AlternateContent xmlns:mc="http://schemas.openxmlformats.org/markup-compatibility/2006">
      <mc:Choice xmlns:a14="http://schemas.microsoft.com/office/drawing/2010/main" Requires="a14">
        <xdr:graphicFrame macro="">
          <xdr:nvGraphicFramePr>
            <xdr:cNvPr id="11" name="Occupation 1">
              <a:extLst>
                <a:ext uri="{FF2B5EF4-FFF2-40B4-BE49-F238E27FC236}">
                  <a16:creationId xmlns:a16="http://schemas.microsoft.com/office/drawing/2014/main" id="{F8865F6D-E14C-453E-BB2B-8D47C0A60815}"/>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4676775" y="400050"/>
              <a:ext cx="1695449"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400050</xdr:colOff>
      <xdr:row>0</xdr:row>
      <xdr:rowOff>95250</xdr:rowOff>
    </xdr:from>
    <xdr:to>
      <xdr:col>10</xdr:col>
      <xdr:colOff>276224</xdr:colOff>
      <xdr:row>2</xdr:row>
      <xdr:rowOff>9525</xdr:rowOff>
    </xdr:to>
    <xdr:sp macro="" textlink="">
      <xdr:nvSpPr>
        <xdr:cNvPr id="12" name="TextBox 11">
          <a:extLst>
            <a:ext uri="{FF2B5EF4-FFF2-40B4-BE49-F238E27FC236}">
              <a16:creationId xmlns:a16="http://schemas.microsoft.com/office/drawing/2014/main" id="{D1081390-41C1-4DBB-B453-BC1773F4373E}"/>
            </a:ext>
          </a:extLst>
        </xdr:cNvPr>
        <xdr:cNvSpPr txBox="1"/>
      </xdr:nvSpPr>
      <xdr:spPr>
        <a:xfrm>
          <a:off x="4667250" y="95250"/>
          <a:ext cx="1704974" cy="29527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Occupation</a:t>
          </a:r>
        </a:p>
      </xdr:txBody>
    </xdr:sp>
    <xdr:clientData/>
  </xdr:twoCellAnchor>
  <xdr:twoCellAnchor editAs="oneCell">
    <xdr:from>
      <xdr:col>10</xdr:col>
      <xdr:colOff>314325</xdr:colOff>
      <xdr:row>7</xdr:row>
      <xdr:rowOff>133351</xdr:rowOff>
    </xdr:from>
    <xdr:to>
      <xdr:col>13</xdr:col>
      <xdr:colOff>180975</xdr:colOff>
      <xdr:row>12</xdr:row>
      <xdr:rowOff>123825</xdr:rowOff>
    </xdr:to>
    <mc:AlternateContent xmlns:mc="http://schemas.openxmlformats.org/markup-compatibility/2006">
      <mc:Choice xmlns:a14="http://schemas.microsoft.com/office/drawing/2010/main" Requires="a14">
        <xdr:graphicFrame macro="">
          <xdr:nvGraphicFramePr>
            <xdr:cNvPr id="13" name="Sleep Disorder 1">
              <a:extLst>
                <a:ext uri="{FF2B5EF4-FFF2-40B4-BE49-F238E27FC236}">
                  <a16:creationId xmlns:a16="http://schemas.microsoft.com/office/drawing/2014/main" id="{B7586961-67BA-413A-A807-2E81B866B1B9}"/>
                </a:ext>
              </a:extLst>
            </xdr:cNvPr>
            <xdr:cNvGraphicFramePr/>
          </xdr:nvGraphicFramePr>
          <xdr:xfrm>
            <a:off x="0" y="0"/>
            <a:ext cx="0" cy="0"/>
          </xdr:xfrm>
          <a:graphic>
            <a:graphicData uri="http://schemas.microsoft.com/office/drawing/2010/slicer">
              <sle:slicer xmlns:sle="http://schemas.microsoft.com/office/drawing/2010/slicer" name="Sleep Disorder 1"/>
            </a:graphicData>
          </a:graphic>
        </xdr:graphicFrame>
      </mc:Choice>
      <mc:Fallback>
        <xdr:sp macro="" textlink="">
          <xdr:nvSpPr>
            <xdr:cNvPr id="0" name=""/>
            <xdr:cNvSpPr>
              <a:spLocks noTextEdit="1"/>
            </xdr:cNvSpPr>
          </xdr:nvSpPr>
          <xdr:spPr>
            <a:xfrm>
              <a:off x="6410325" y="1466851"/>
              <a:ext cx="1695450"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314325</xdr:colOff>
      <xdr:row>6</xdr:row>
      <xdr:rowOff>9525</xdr:rowOff>
    </xdr:from>
    <xdr:to>
      <xdr:col>13</xdr:col>
      <xdr:colOff>161925</xdr:colOff>
      <xdr:row>7</xdr:row>
      <xdr:rowOff>142875</xdr:rowOff>
    </xdr:to>
    <xdr:sp macro="" textlink="">
      <xdr:nvSpPr>
        <xdr:cNvPr id="14" name="TextBox 13">
          <a:extLst>
            <a:ext uri="{FF2B5EF4-FFF2-40B4-BE49-F238E27FC236}">
              <a16:creationId xmlns:a16="http://schemas.microsoft.com/office/drawing/2014/main" id="{D14C5D06-A252-4DFA-921C-C7DFDA73BA40}"/>
            </a:ext>
          </a:extLst>
        </xdr:cNvPr>
        <xdr:cNvSpPr txBox="1"/>
      </xdr:nvSpPr>
      <xdr:spPr>
        <a:xfrm>
          <a:off x="6410325" y="1152525"/>
          <a:ext cx="1676400" cy="3238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Sleep Disorder</a:t>
          </a:r>
        </a:p>
      </xdr:txBody>
    </xdr:sp>
    <xdr:clientData/>
  </xdr:twoCellAnchor>
  <xdr:twoCellAnchor>
    <xdr:from>
      <xdr:col>1</xdr:col>
      <xdr:colOff>171451</xdr:colOff>
      <xdr:row>13</xdr:row>
      <xdr:rowOff>19050</xdr:rowOff>
    </xdr:from>
    <xdr:to>
      <xdr:col>4</xdr:col>
      <xdr:colOff>200025</xdr:colOff>
      <xdr:row>16</xdr:row>
      <xdr:rowOff>47625</xdr:rowOff>
    </xdr:to>
    <xdr:sp macro="" textlink="">
      <xdr:nvSpPr>
        <xdr:cNvPr id="15" name="Rectangle: Rounded Corners 14">
          <a:extLst>
            <a:ext uri="{FF2B5EF4-FFF2-40B4-BE49-F238E27FC236}">
              <a16:creationId xmlns:a16="http://schemas.microsoft.com/office/drawing/2014/main" id="{DEDB15EA-907F-4BE6-B43E-4E3730481782}"/>
            </a:ext>
          </a:extLst>
        </xdr:cNvPr>
        <xdr:cNvSpPr/>
      </xdr:nvSpPr>
      <xdr:spPr>
        <a:xfrm>
          <a:off x="781051" y="2495550"/>
          <a:ext cx="1857374" cy="600075"/>
        </a:xfrm>
        <a:prstGeom prst="roundRect">
          <a:avLst/>
        </a:prstGeom>
        <a:solidFill>
          <a:srgbClr val="EBBFE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lumMod val="75000"/>
                  <a:lumOff val="25000"/>
                </a:schemeClr>
              </a:solidFill>
              <a:latin typeface="Times New Roman" panose="02020603050405020304" pitchFamily="18" charset="0"/>
              <a:cs typeface="Times New Roman" panose="02020603050405020304" pitchFamily="18" charset="0"/>
            </a:rPr>
            <a:t>Average Sleep Duration</a:t>
          </a:r>
        </a:p>
        <a:p>
          <a:pPr algn="l"/>
          <a:endParaRPr lang="en-US" sz="1100" b="1">
            <a:solidFill>
              <a:schemeClr val="tx1"/>
            </a:solidFill>
            <a:latin typeface="Times New Roman" panose="02020603050405020304" pitchFamily="18" charset="0"/>
            <a:cs typeface="Times New Roman" panose="02020603050405020304" pitchFamily="18" charset="0"/>
          </a:endParaRPr>
        </a:p>
        <a:p>
          <a:pPr algn="l"/>
          <a:endParaRPr lang="en-US" sz="1100" b="1">
            <a:solidFill>
              <a:schemeClr val="tx1"/>
            </a:solidFill>
            <a:latin typeface="Times New Roman" panose="02020603050405020304" pitchFamily="18" charset="0"/>
            <a:cs typeface="Times New Roman" panose="02020603050405020304" pitchFamily="18" charset="0"/>
          </a:endParaRPr>
        </a:p>
        <a:p>
          <a:pPr algn="l"/>
          <a:endParaRPr lang="en-US"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542925</xdr:colOff>
      <xdr:row>14</xdr:row>
      <xdr:rowOff>133349</xdr:rowOff>
    </xdr:from>
    <xdr:to>
      <xdr:col>3</xdr:col>
      <xdr:colOff>390525</xdr:colOff>
      <xdr:row>15</xdr:row>
      <xdr:rowOff>190498</xdr:rowOff>
    </xdr:to>
    <xdr:sp macro="" textlink="'Pivot Table'!AF81">
      <xdr:nvSpPr>
        <xdr:cNvPr id="16" name="TextBox 15">
          <a:extLst>
            <a:ext uri="{FF2B5EF4-FFF2-40B4-BE49-F238E27FC236}">
              <a16:creationId xmlns:a16="http://schemas.microsoft.com/office/drawing/2014/main" id="{E746423C-E061-4834-8DE2-5E0F1BAD6E5D}"/>
            </a:ext>
          </a:extLst>
        </xdr:cNvPr>
        <xdr:cNvSpPr txBox="1"/>
      </xdr:nvSpPr>
      <xdr:spPr>
        <a:xfrm>
          <a:off x="1152525" y="2800349"/>
          <a:ext cx="1066800" cy="247649"/>
        </a:xfrm>
        <a:prstGeom prst="rect">
          <a:avLst/>
        </a:prstGeom>
        <a:solidFill>
          <a:srgbClr val="EBBFE6"/>
        </a:solidFill>
        <a:ln w="9525" cmpd="sng">
          <a:solidFill>
            <a:srgbClr val="EBBFE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033486-19A5-474A-987B-87DF99D314A5}" type="TxLink">
            <a:rPr lang="en-US" sz="1200" b="1" i="0" u="none" strike="noStrike">
              <a:solidFill>
                <a:schemeClr val="tx1"/>
              </a:solidFill>
              <a:latin typeface="Times New Roman" panose="02020603050405020304" pitchFamily="18" charset="0"/>
              <a:cs typeface="Times New Roman" panose="02020603050405020304" pitchFamily="18" charset="0"/>
            </a:rPr>
            <a:pPr algn="ctr"/>
            <a:t>7.132085561</a:t>
          </a:fld>
          <a:endParaRPr lang="en-US"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257175</xdr:colOff>
      <xdr:row>12</xdr:row>
      <xdr:rowOff>180976</xdr:rowOff>
    </xdr:from>
    <xdr:to>
      <xdr:col>13</xdr:col>
      <xdr:colOff>85725</xdr:colOff>
      <xdr:row>16</xdr:row>
      <xdr:rowOff>76200</xdr:rowOff>
    </xdr:to>
    <xdr:sp macro="" textlink="">
      <xdr:nvSpPr>
        <xdr:cNvPr id="18" name="Rectangle: Rounded Corners 17">
          <a:extLst>
            <a:ext uri="{FF2B5EF4-FFF2-40B4-BE49-F238E27FC236}">
              <a16:creationId xmlns:a16="http://schemas.microsoft.com/office/drawing/2014/main" id="{FD91AC37-219C-4418-893D-AB2EC7B4DAF7}"/>
            </a:ext>
          </a:extLst>
        </xdr:cNvPr>
        <xdr:cNvSpPr/>
      </xdr:nvSpPr>
      <xdr:spPr>
        <a:xfrm>
          <a:off x="6353175" y="2466976"/>
          <a:ext cx="1657350" cy="657224"/>
        </a:xfrm>
        <a:prstGeom prst="roundRect">
          <a:avLst/>
        </a:prstGeom>
        <a:solidFill>
          <a:srgbClr val="EBBFE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1">
                  <a:lumMod val="65000"/>
                  <a:lumOff val="35000"/>
                </a:schemeClr>
              </a:solidFill>
              <a:latin typeface="Times New Roman" panose="02020603050405020304" pitchFamily="18" charset="0"/>
              <a:cs typeface="Times New Roman" panose="02020603050405020304" pitchFamily="18" charset="0"/>
            </a:rPr>
            <a:t>% With Sleep Disorder</a:t>
          </a:r>
          <a:endParaRPr lang="en-US" sz="1100" b="1">
            <a:solidFill>
              <a:schemeClr val="tx1">
                <a:lumMod val="65000"/>
                <a:lumOff val="35000"/>
              </a:schemeClr>
            </a:solidFill>
            <a:latin typeface="Times New Roman" panose="02020603050405020304" pitchFamily="18" charset="0"/>
            <a:cs typeface="Times New Roman" panose="02020603050405020304" pitchFamily="18" charset="0"/>
          </a:endParaRPr>
        </a:p>
        <a:p>
          <a:pPr algn="l"/>
          <a:endParaRPr lang="en-US" sz="1100" b="1">
            <a:solidFill>
              <a:schemeClr val="tx1">
                <a:lumMod val="65000"/>
                <a:lumOff val="35000"/>
              </a:schemeClr>
            </a:solidFill>
            <a:latin typeface="Times New Roman" panose="02020603050405020304" pitchFamily="18" charset="0"/>
            <a:cs typeface="Times New Roman" panose="02020603050405020304" pitchFamily="18" charset="0"/>
          </a:endParaRPr>
        </a:p>
        <a:p>
          <a:pPr algn="l"/>
          <a:endParaRPr lang="en-US"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219075</xdr:colOff>
      <xdr:row>13</xdr:row>
      <xdr:rowOff>9525</xdr:rowOff>
    </xdr:from>
    <xdr:to>
      <xdr:col>10</xdr:col>
      <xdr:colOff>57150</xdr:colOff>
      <xdr:row>16</xdr:row>
      <xdr:rowOff>76201</xdr:rowOff>
    </xdr:to>
    <xdr:sp macro="" textlink="">
      <xdr:nvSpPr>
        <xdr:cNvPr id="19" name="Rectangle: Rounded Corners 18">
          <a:extLst>
            <a:ext uri="{FF2B5EF4-FFF2-40B4-BE49-F238E27FC236}">
              <a16:creationId xmlns:a16="http://schemas.microsoft.com/office/drawing/2014/main" id="{F50DBB67-A64D-4D84-AA87-CD58D9B4CF92}"/>
            </a:ext>
          </a:extLst>
        </xdr:cNvPr>
        <xdr:cNvSpPr/>
      </xdr:nvSpPr>
      <xdr:spPr>
        <a:xfrm>
          <a:off x="4486275" y="2486025"/>
          <a:ext cx="1666875" cy="638176"/>
        </a:xfrm>
        <a:prstGeom prst="roundRect">
          <a:avLst/>
        </a:prstGeom>
        <a:solidFill>
          <a:srgbClr val="EBBFE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lumMod val="75000"/>
                  <a:lumOff val="25000"/>
                </a:schemeClr>
              </a:solidFill>
              <a:latin typeface="Times New Roman" panose="02020603050405020304" pitchFamily="18" charset="0"/>
              <a:cs typeface="Times New Roman" panose="02020603050405020304" pitchFamily="18" charset="0"/>
            </a:rPr>
            <a:t>Average Stress Level</a:t>
          </a:r>
        </a:p>
        <a:p>
          <a:pPr algn="l"/>
          <a:endParaRPr lang="en-US" sz="1100" b="1">
            <a:solidFill>
              <a:schemeClr val="tx1"/>
            </a:solidFill>
            <a:latin typeface="Times New Roman" panose="02020603050405020304" pitchFamily="18" charset="0"/>
            <a:cs typeface="Times New Roman" panose="02020603050405020304" pitchFamily="18" charset="0"/>
          </a:endParaRPr>
        </a:p>
        <a:p>
          <a:pPr algn="l"/>
          <a:endParaRPr lang="en-US"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447676</xdr:colOff>
      <xdr:row>13</xdr:row>
      <xdr:rowOff>19050</xdr:rowOff>
    </xdr:from>
    <xdr:to>
      <xdr:col>7</xdr:col>
      <xdr:colOff>85726</xdr:colOff>
      <xdr:row>16</xdr:row>
      <xdr:rowOff>76199</xdr:rowOff>
    </xdr:to>
    <xdr:sp macro="" textlink="">
      <xdr:nvSpPr>
        <xdr:cNvPr id="20" name="Rectangle: Rounded Corners 19">
          <a:extLst>
            <a:ext uri="{FF2B5EF4-FFF2-40B4-BE49-F238E27FC236}">
              <a16:creationId xmlns:a16="http://schemas.microsoft.com/office/drawing/2014/main" id="{89C13A94-301D-4AE7-9A7C-D20AE3B8AB6F}"/>
            </a:ext>
          </a:extLst>
        </xdr:cNvPr>
        <xdr:cNvSpPr/>
      </xdr:nvSpPr>
      <xdr:spPr>
        <a:xfrm>
          <a:off x="2886076" y="2495550"/>
          <a:ext cx="1466850" cy="628649"/>
        </a:xfrm>
        <a:prstGeom prst="roundRect">
          <a:avLst/>
        </a:prstGeom>
        <a:solidFill>
          <a:srgbClr val="EBBFE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lumMod val="75000"/>
                  <a:lumOff val="25000"/>
                </a:schemeClr>
              </a:solidFill>
              <a:latin typeface="Times New Roman" panose="02020603050405020304" pitchFamily="18" charset="0"/>
              <a:cs typeface="Times New Roman" panose="02020603050405020304" pitchFamily="18" charset="0"/>
            </a:rPr>
            <a:t>Total Participants</a:t>
          </a:r>
        </a:p>
        <a:p>
          <a:pPr algn="l"/>
          <a:endParaRPr lang="en-US" sz="1100" b="1">
            <a:solidFill>
              <a:schemeClr val="tx1"/>
            </a:solidFill>
            <a:latin typeface="Times New Roman" panose="02020603050405020304" pitchFamily="18" charset="0"/>
            <a:cs typeface="Times New Roman" panose="02020603050405020304" pitchFamily="18" charset="0"/>
          </a:endParaRPr>
        </a:p>
        <a:p>
          <a:pPr algn="l"/>
          <a:endParaRPr lang="en-US"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85725</xdr:colOff>
      <xdr:row>14</xdr:row>
      <xdr:rowOff>123825</xdr:rowOff>
    </xdr:from>
    <xdr:to>
      <xdr:col>6</xdr:col>
      <xdr:colOff>409575</xdr:colOff>
      <xdr:row>16</xdr:row>
      <xdr:rowOff>0</xdr:rowOff>
    </xdr:to>
    <xdr:sp macro="" textlink="'Pivot Table'!AF84">
      <xdr:nvSpPr>
        <xdr:cNvPr id="21" name="TextBox 20">
          <a:extLst>
            <a:ext uri="{FF2B5EF4-FFF2-40B4-BE49-F238E27FC236}">
              <a16:creationId xmlns:a16="http://schemas.microsoft.com/office/drawing/2014/main" id="{2DA0BE71-C605-4513-8A46-46AAAB5A621C}"/>
            </a:ext>
          </a:extLst>
        </xdr:cNvPr>
        <xdr:cNvSpPr txBox="1"/>
      </xdr:nvSpPr>
      <xdr:spPr>
        <a:xfrm>
          <a:off x="3133725" y="2790825"/>
          <a:ext cx="933450" cy="257175"/>
        </a:xfrm>
        <a:prstGeom prst="rect">
          <a:avLst/>
        </a:prstGeom>
        <a:solidFill>
          <a:srgbClr val="EBBFE6"/>
        </a:solidFill>
        <a:ln w="9525" cmpd="sng">
          <a:solidFill>
            <a:srgbClr val="EBBFE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AA7777-D50C-4BEF-B3BD-0B89E89CF21E}"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374</a:t>
          </a:fld>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8</xdr:col>
      <xdr:colOff>19050</xdr:colOff>
      <xdr:row>14</xdr:row>
      <xdr:rowOff>133350</xdr:rowOff>
    </xdr:from>
    <xdr:to>
      <xdr:col>9</xdr:col>
      <xdr:colOff>390525</xdr:colOff>
      <xdr:row>16</xdr:row>
      <xdr:rowOff>9525</xdr:rowOff>
    </xdr:to>
    <xdr:sp macro="" textlink="'Pivot Table'!AF87">
      <xdr:nvSpPr>
        <xdr:cNvPr id="22" name="TextBox 21">
          <a:extLst>
            <a:ext uri="{FF2B5EF4-FFF2-40B4-BE49-F238E27FC236}">
              <a16:creationId xmlns:a16="http://schemas.microsoft.com/office/drawing/2014/main" id="{441691F9-7C19-48AE-8D52-621E311B3738}"/>
            </a:ext>
          </a:extLst>
        </xdr:cNvPr>
        <xdr:cNvSpPr txBox="1"/>
      </xdr:nvSpPr>
      <xdr:spPr>
        <a:xfrm>
          <a:off x="4895850" y="2800350"/>
          <a:ext cx="981075" cy="257175"/>
        </a:xfrm>
        <a:prstGeom prst="rect">
          <a:avLst/>
        </a:prstGeom>
        <a:solidFill>
          <a:srgbClr val="EBBFE6"/>
        </a:solidFill>
        <a:ln w="9525" cmpd="sng">
          <a:solidFill>
            <a:srgbClr val="EBBFE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946291-85C8-43A2-9C3D-08FCA2E91A0E}"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5.385026738</a:t>
          </a:fld>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11</xdr:col>
      <xdr:colOff>209550</xdr:colOff>
      <xdr:row>14</xdr:row>
      <xdr:rowOff>95249</xdr:rowOff>
    </xdr:from>
    <xdr:to>
      <xdr:col>12</xdr:col>
      <xdr:colOff>247650</xdr:colOff>
      <xdr:row>16</xdr:row>
      <xdr:rowOff>66674</xdr:rowOff>
    </xdr:to>
    <xdr:sp macro="" textlink="'Pivot Table'!AF90">
      <xdr:nvSpPr>
        <xdr:cNvPr id="23" name="TextBox 22">
          <a:extLst>
            <a:ext uri="{FF2B5EF4-FFF2-40B4-BE49-F238E27FC236}">
              <a16:creationId xmlns:a16="http://schemas.microsoft.com/office/drawing/2014/main" id="{0B5ADD44-7EE4-40A3-9F87-B87632C45298}"/>
            </a:ext>
          </a:extLst>
        </xdr:cNvPr>
        <xdr:cNvSpPr txBox="1"/>
      </xdr:nvSpPr>
      <xdr:spPr>
        <a:xfrm>
          <a:off x="6915150" y="2762249"/>
          <a:ext cx="647700" cy="352425"/>
        </a:xfrm>
        <a:prstGeom prst="rect">
          <a:avLst/>
        </a:prstGeom>
        <a:solidFill>
          <a:srgbClr val="EBBFE6"/>
        </a:solidFill>
        <a:ln w="9525" cmpd="sng">
          <a:solidFill>
            <a:srgbClr val="EBBFE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D9FFFA-51FC-454D-9036-AC3EBBE4D259}"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100%</a:t>
          </a:fld>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514351</xdr:colOff>
      <xdr:row>0</xdr:row>
      <xdr:rowOff>152400</xdr:rowOff>
    </xdr:from>
    <xdr:to>
      <xdr:col>7</xdr:col>
      <xdr:colOff>285751</xdr:colOff>
      <xdr:row>3</xdr:row>
      <xdr:rowOff>76200</xdr:rowOff>
    </xdr:to>
    <xdr:sp macro="" textlink="">
      <xdr:nvSpPr>
        <xdr:cNvPr id="8" name="TextBox 7">
          <a:extLst>
            <a:ext uri="{FF2B5EF4-FFF2-40B4-BE49-F238E27FC236}">
              <a16:creationId xmlns:a16="http://schemas.microsoft.com/office/drawing/2014/main" id="{CEF38211-CDB5-4E2F-9FDA-511435E1F6B1}"/>
            </a:ext>
          </a:extLst>
        </xdr:cNvPr>
        <xdr:cNvSpPr txBox="1"/>
      </xdr:nvSpPr>
      <xdr:spPr>
        <a:xfrm>
          <a:off x="514351" y="152400"/>
          <a:ext cx="4038600" cy="495300"/>
        </a:xfrm>
        <a:prstGeom prst="roundRect">
          <a:avLst/>
        </a:prstGeom>
        <a:solidFill>
          <a:srgbClr val="DFC9E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cap="all" baseline="0">
              <a:solidFill>
                <a:schemeClr val="tx1"/>
              </a:solidFill>
              <a:latin typeface="Times New Roman" panose="02020603050405020304" pitchFamily="18" charset="0"/>
              <a:cs typeface="Times New Roman" panose="02020603050405020304" pitchFamily="18" charset="0"/>
            </a:rPr>
            <a:t>Sleep Health Overview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1.835346180553" createdVersion="7" refreshedVersion="7" minRefreshableVersion="3" recordCount="374" xr:uid="{325A71E9-BF87-4F27-AD52-2B7D452184BA}">
  <cacheSource type="worksheet">
    <worksheetSource name="Sleep_health_and_lifestyle_dataset3"/>
  </cacheSource>
  <cacheFields count="15">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acheField>
    <cacheField name="Stress Level" numFmtId="0">
      <sharedItems containsSemiMixedTypes="0" containsString="0" containsNumber="1" containsInteger="1" minValue="3" maxValue="8" count="6">
        <n v="6"/>
        <n v="8"/>
        <n v="7"/>
        <n v="4"/>
        <n v="3"/>
        <n v="5"/>
      </sharedItems>
    </cacheField>
    <cacheField name="BMI Category" numFmtId="0">
      <sharedItems count="4">
        <s v="Overweight"/>
        <s v="Normal"/>
        <s v="Obese"/>
        <s v="Normal Weight"/>
      </sharedItems>
    </cacheField>
    <cacheField name="Systolic_BP" numFmtId="0">
      <sharedItems containsSemiMixedTypes="0" containsString="0" containsNumber="1" containsInteger="1" minValue="115" maxValue="142"/>
    </cacheField>
    <cacheField name="Diastolic_BP" numFmtId="0">
      <sharedItems containsSemiMixedTypes="0" containsString="0" containsNumber="1" containsInteger="1" minValue="75" maxValue="95"/>
    </cacheField>
    <cacheField name="Daily Steps" numFmtId="0">
      <sharedItems containsSemiMixedTypes="0" containsString="0" containsNumber="1" containsInteger="1" minValue="3000" maxValue="10000"/>
    </cacheField>
    <cacheField name="Sleep Disorder" numFmtId="0">
      <sharedItems count="3">
        <s v="None"/>
        <s v="Sleep Apnea"/>
        <s v="Insomnia"/>
      </sharedItems>
    </cacheField>
    <cacheField name="Sleep Quality Category " numFmtId="0">
      <sharedItems/>
    </cacheField>
    <cacheField name="Activity Level Group" numFmtId="0">
      <sharedItems/>
    </cacheField>
  </cacheFields>
  <extLst>
    <ext xmlns:x14="http://schemas.microsoft.com/office/spreadsheetml/2009/9/main" uri="{725AE2AE-9491-48be-B2B4-4EB974FC3084}">
      <x14:pivotCacheDefinition pivotCacheId="35612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n v="6.1"/>
    <n v="6"/>
    <n v="42"/>
    <x v="0"/>
    <x v="0"/>
    <n v="126"/>
    <n v="83"/>
    <n v="4200"/>
    <x v="0"/>
    <s v="Average"/>
    <s v="Medium"/>
  </r>
  <r>
    <n v="2"/>
    <x v="0"/>
    <n v="28"/>
    <x v="1"/>
    <n v="6.2"/>
    <n v="6"/>
    <n v="60"/>
    <x v="1"/>
    <x v="1"/>
    <n v="125"/>
    <n v="80"/>
    <n v="10000"/>
    <x v="0"/>
    <s v="Average"/>
    <s v="High"/>
  </r>
  <r>
    <n v="3"/>
    <x v="0"/>
    <n v="28"/>
    <x v="1"/>
    <n v="6.2"/>
    <n v="6"/>
    <n v="60"/>
    <x v="1"/>
    <x v="1"/>
    <n v="125"/>
    <n v="80"/>
    <n v="10000"/>
    <x v="0"/>
    <s v="Average"/>
    <s v="High"/>
  </r>
  <r>
    <n v="4"/>
    <x v="0"/>
    <n v="28"/>
    <x v="2"/>
    <n v="5.9"/>
    <n v="4"/>
    <n v="30"/>
    <x v="1"/>
    <x v="2"/>
    <n v="140"/>
    <n v="90"/>
    <n v="3000"/>
    <x v="1"/>
    <s v="Average"/>
    <s v="Low"/>
  </r>
  <r>
    <n v="5"/>
    <x v="0"/>
    <n v="28"/>
    <x v="2"/>
    <n v="5.9"/>
    <n v="4"/>
    <n v="30"/>
    <x v="1"/>
    <x v="2"/>
    <n v="140"/>
    <n v="90"/>
    <n v="3000"/>
    <x v="1"/>
    <s v="Average"/>
    <s v="Low"/>
  </r>
  <r>
    <n v="6"/>
    <x v="0"/>
    <n v="28"/>
    <x v="0"/>
    <n v="5.9"/>
    <n v="4"/>
    <n v="30"/>
    <x v="1"/>
    <x v="2"/>
    <n v="140"/>
    <n v="90"/>
    <n v="3000"/>
    <x v="2"/>
    <s v="Average"/>
    <s v="Low"/>
  </r>
  <r>
    <n v="7"/>
    <x v="0"/>
    <n v="29"/>
    <x v="3"/>
    <n v="6.3"/>
    <n v="6"/>
    <n v="40"/>
    <x v="2"/>
    <x v="2"/>
    <n v="140"/>
    <n v="90"/>
    <n v="3500"/>
    <x v="2"/>
    <s v="Average"/>
    <s v="Medium"/>
  </r>
  <r>
    <n v="8"/>
    <x v="0"/>
    <n v="29"/>
    <x v="1"/>
    <n v="7.8"/>
    <n v="7"/>
    <n v="75"/>
    <x v="0"/>
    <x v="1"/>
    <n v="120"/>
    <n v="80"/>
    <n v="8000"/>
    <x v="0"/>
    <s v="Average"/>
    <s v="High"/>
  </r>
  <r>
    <n v="9"/>
    <x v="0"/>
    <n v="29"/>
    <x v="1"/>
    <n v="7.8"/>
    <n v="7"/>
    <n v="75"/>
    <x v="0"/>
    <x v="1"/>
    <n v="120"/>
    <n v="80"/>
    <n v="8000"/>
    <x v="0"/>
    <s v="Average"/>
    <s v="High"/>
  </r>
  <r>
    <n v="10"/>
    <x v="0"/>
    <n v="29"/>
    <x v="1"/>
    <n v="7.8"/>
    <n v="7"/>
    <n v="75"/>
    <x v="0"/>
    <x v="1"/>
    <n v="120"/>
    <n v="80"/>
    <n v="8000"/>
    <x v="0"/>
    <s v="Average"/>
    <s v="High"/>
  </r>
  <r>
    <n v="11"/>
    <x v="0"/>
    <n v="29"/>
    <x v="1"/>
    <n v="6.1"/>
    <n v="6"/>
    <n v="30"/>
    <x v="1"/>
    <x v="1"/>
    <n v="120"/>
    <n v="80"/>
    <n v="8000"/>
    <x v="0"/>
    <s v="Average"/>
    <s v="Low"/>
  </r>
  <r>
    <n v="12"/>
    <x v="0"/>
    <n v="29"/>
    <x v="1"/>
    <n v="7.8"/>
    <n v="7"/>
    <n v="75"/>
    <x v="0"/>
    <x v="1"/>
    <n v="120"/>
    <n v="80"/>
    <n v="8000"/>
    <x v="0"/>
    <s v="Average"/>
    <s v="High"/>
  </r>
  <r>
    <n v="13"/>
    <x v="0"/>
    <n v="29"/>
    <x v="1"/>
    <n v="6.1"/>
    <n v="6"/>
    <n v="30"/>
    <x v="1"/>
    <x v="1"/>
    <n v="120"/>
    <n v="80"/>
    <n v="8000"/>
    <x v="0"/>
    <s v="Average"/>
    <s v="Low"/>
  </r>
  <r>
    <n v="14"/>
    <x v="0"/>
    <n v="29"/>
    <x v="1"/>
    <n v="6"/>
    <n v="6"/>
    <n v="30"/>
    <x v="1"/>
    <x v="1"/>
    <n v="120"/>
    <n v="80"/>
    <n v="8000"/>
    <x v="0"/>
    <s v="Average"/>
    <s v="Low"/>
  </r>
  <r>
    <n v="15"/>
    <x v="0"/>
    <n v="29"/>
    <x v="1"/>
    <n v="6"/>
    <n v="6"/>
    <n v="30"/>
    <x v="1"/>
    <x v="1"/>
    <n v="120"/>
    <n v="80"/>
    <n v="8000"/>
    <x v="0"/>
    <s v="Average"/>
    <s v="Low"/>
  </r>
  <r>
    <n v="16"/>
    <x v="0"/>
    <n v="29"/>
    <x v="1"/>
    <n v="6"/>
    <n v="6"/>
    <n v="30"/>
    <x v="1"/>
    <x v="1"/>
    <n v="120"/>
    <n v="80"/>
    <n v="8000"/>
    <x v="0"/>
    <s v="Average"/>
    <s v="Low"/>
  </r>
  <r>
    <n v="17"/>
    <x v="1"/>
    <n v="29"/>
    <x v="4"/>
    <n v="6.5"/>
    <n v="5"/>
    <n v="40"/>
    <x v="2"/>
    <x v="3"/>
    <n v="132"/>
    <n v="87"/>
    <n v="4000"/>
    <x v="1"/>
    <s v="Average"/>
    <s v="Medium"/>
  </r>
  <r>
    <n v="18"/>
    <x v="0"/>
    <n v="29"/>
    <x v="1"/>
    <n v="6"/>
    <n v="6"/>
    <n v="30"/>
    <x v="1"/>
    <x v="1"/>
    <n v="120"/>
    <n v="80"/>
    <n v="8000"/>
    <x v="1"/>
    <s v="Average"/>
    <s v="Low"/>
  </r>
  <r>
    <n v="19"/>
    <x v="1"/>
    <n v="29"/>
    <x v="4"/>
    <n v="6.5"/>
    <n v="5"/>
    <n v="40"/>
    <x v="2"/>
    <x v="3"/>
    <n v="132"/>
    <n v="87"/>
    <n v="4000"/>
    <x v="2"/>
    <s v="Average"/>
    <s v="Medium"/>
  </r>
  <r>
    <n v="20"/>
    <x v="0"/>
    <n v="30"/>
    <x v="1"/>
    <n v="7.6"/>
    <n v="7"/>
    <n v="75"/>
    <x v="0"/>
    <x v="1"/>
    <n v="120"/>
    <n v="80"/>
    <n v="8000"/>
    <x v="0"/>
    <s v="Average"/>
    <s v="High"/>
  </r>
  <r>
    <n v="21"/>
    <x v="0"/>
    <n v="30"/>
    <x v="1"/>
    <n v="7.7"/>
    <n v="7"/>
    <n v="75"/>
    <x v="0"/>
    <x v="1"/>
    <n v="120"/>
    <n v="80"/>
    <n v="8000"/>
    <x v="0"/>
    <s v="Average"/>
    <s v="High"/>
  </r>
  <r>
    <n v="22"/>
    <x v="0"/>
    <n v="30"/>
    <x v="1"/>
    <n v="7.7"/>
    <n v="7"/>
    <n v="75"/>
    <x v="0"/>
    <x v="1"/>
    <n v="120"/>
    <n v="80"/>
    <n v="8000"/>
    <x v="0"/>
    <s v="Average"/>
    <s v="High"/>
  </r>
  <r>
    <n v="23"/>
    <x v="0"/>
    <n v="30"/>
    <x v="1"/>
    <n v="7.7"/>
    <n v="7"/>
    <n v="75"/>
    <x v="0"/>
    <x v="1"/>
    <n v="120"/>
    <n v="80"/>
    <n v="8000"/>
    <x v="0"/>
    <s v="Average"/>
    <s v="High"/>
  </r>
  <r>
    <n v="24"/>
    <x v="0"/>
    <n v="30"/>
    <x v="1"/>
    <n v="7.7"/>
    <n v="7"/>
    <n v="75"/>
    <x v="0"/>
    <x v="1"/>
    <n v="120"/>
    <n v="80"/>
    <n v="8000"/>
    <x v="0"/>
    <s v="Average"/>
    <s v="High"/>
  </r>
  <r>
    <n v="25"/>
    <x v="0"/>
    <n v="30"/>
    <x v="1"/>
    <n v="7.8"/>
    <n v="7"/>
    <n v="75"/>
    <x v="0"/>
    <x v="1"/>
    <n v="120"/>
    <n v="80"/>
    <n v="8000"/>
    <x v="0"/>
    <s v="Average"/>
    <s v="High"/>
  </r>
  <r>
    <n v="26"/>
    <x v="0"/>
    <n v="30"/>
    <x v="1"/>
    <n v="7.9"/>
    <n v="7"/>
    <n v="75"/>
    <x v="0"/>
    <x v="1"/>
    <n v="120"/>
    <n v="80"/>
    <n v="8000"/>
    <x v="0"/>
    <s v="Average"/>
    <s v="High"/>
  </r>
  <r>
    <n v="27"/>
    <x v="0"/>
    <n v="30"/>
    <x v="1"/>
    <n v="7.8"/>
    <n v="7"/>
    <n v="75"/>
    <x v="0"/>
    <x v="1"/>
    <n v="120"/>
    <n v="80"/>
    <n v="8000"/>
    <x v="0"/>
    <s v="Average"/>
    <s v="High"/>
  </r>
  <r>
    <n v="28"/>
    <x v="0"/>
    <n v="30"/>
    <x v="1"/>
    <n v="7.9"/>
    <n v="7"/>
    <n v="75"/>
    <x v="0"/>
    <x v="1"/>
    <n v="120"/>
    <n v="80"/>
    <n v="8000"/>
    <x v="0"/>
    <s v="Average"/>
    <s v="High"/>
  </r>
  <r>
    <n v="29"/>
    <x v="0"/>
    <n v="30"/>
    <x v="1"/>
    <n v="7.9"/>
    <n v="7"/>
    <n v="75"/>
    <x v="0"/>
    <x v="1"/>
    <n v="120"/>
    <n v="80"/>
    <n v="8000"/>
    <x v="0"/>
    <s v="Average"/>
    <s v="High"/>
  </r>
  <r>
    <n v="30"/>
    <x v="0"/>
    <n v="30"/>
    <x v="1"/>
    <n v="7.9"/>
    <n v="7"/>
    <n v="75"/>
    <x v="0"/>
    <x v="1"/>
    <n v="120"/>
    <n v="80"/>
    <n v="8000"/>
    <x v="0"/>
    <s v="Average"/>
    <s v="High"/>
  </r>
  <r>
    <n v="31"/>
    <x v="1"/>
    <n v="30"/>
    <x v="4"/>
    <n v="6.4"/>
    <n v="5"/>
    <n v="35"/>
    <x v="2"/>
    <x v="3"/>
    <n v="130"/>
    <n v="86"/>
    <n v="4100"/>
    <x v="1"/>
    <s v="Average"/>
    <s v="Low"/>
  </r>
  <r>
    <n v="32"/>
    <x v="1"/>
    <n v="30"/>
    <x v="4"/>
    <n v="6.4"/>
    <n v="5"/>
    <n v="35"/>
    <x v="2"/>
    <x v="3"/>
    <n v="130"/>
    <n v="86"/>
    <n v="4100"/>
    <x v="2"/>
    <s v="Average"/>
    <s v="Low"/>
  </r>
  <r>
    <n v="33"/>
    <x v="1"/>
    <n v="31"/>
    <x v="4"/>
    <n v="7.9"/>
    <n v="8"/>
    <n v="75"/>
    <x v="3"/>
    <x v="3"/>
    <n v="117"/>
    <n v="76"/>
    <n v="6800"/>
    <x v="0"/>
    <s v="Average"/>
    <s v="High"/>
  </r>
  <r>
    <n v="34"/>
    <x v="0"/>
    <n v="31"/>
    <x v="1"/>
    <n v="6.1"/>
    <n v="6"/>
    <n v="30"/>
    <x v="1"/>
    <x v="1"/>
    <n v="125"/>
    <n v="80"/>
    <n v="5000"/>
    <x v="0"/>
    <s v="Average"/>
    <s v="Low"/>
  </r>
  <r>
    <n v="35"/>
    <x v="0"/>
    <n v="31"/>
    <x v="1"/>
    <n v="7.7"/>
    <n v="7"/>
    <n v="75"/>
    <x v="0"/>
    <x v="1"/>
    <n v="120"/>
    <n v="80"/>
    <n v="8000"/>
    <x v="0"/>
    <s v="Average"/>
    <s v="High"/>
  </r>
  <r>
    <n v="36"/>
    <x v="0"/>
    <n v="31"/>
    <x v="1"/>
    <n v="6.1"/>
    <n v="6"/>
    <n v="30"/>
    <x v="1"/>
    <x v="1"/>
    <n v="125"/>
    <n v="80"/>
    <n v="5000"/>
    <x v="0"/>
    <s v="Average"/>
    <s v="Low"/>
  </r>
  <r>
    <n v="37"/>
    <x v="0"/>
    <n v="31"/>
    <x v="1"/>
    <n v="6.1"/>
    <n v="6"/>
    <n v="30"/>
    <x v="1"/>
    <x v="1"/>
    <n v="125"/>
    <n v="80"/>
    <n v="5000"/>
    <x v="0"/>
    <s v="Average"/>
    <s v="Low"/>
  </r>
  <r>
    <n v="38"/>
    <x v="0"/>
    <n v="31"/>
    <x v="1"/>
    <n v="7.6"/>
    <n v="7"/>
    <n v="75"/>
    <x v="0"/>
    <x v="1"/>
    <n v="120"/>
    <n v="80"/>
    <n v="8000"/>
    <x v="0"/>
    <s v="Average"/>
    <s v="High"/>
  </r>
  <r>
    <n v="39"/>
    <x v="0"/>
    <n v="31"/>
    <x v="1"/>
    <n v="7.6"/>
    <n v="7"/>
    <n v="75"/>
    <x v="0"/>
    <x v="1"/>
    <n v="120"/>
    <n v="80"/>
    <n v="8000"/>
    <x v="0"/>
    <s v="Average"/>
    <s v="High"/>
  </r>
  <r>
    <n v="40"/>
    <x v="0"/>
    <n v="31"/>
    <x v="1"/>
    <n v="7.6"/>
    <n v="7"/>
    <n v="75"/>
    <x v="0"/>
    <x v="1"/>
    <n v="120"/>
    <n v="80"/>
    <n v="8000"/>
    <x v="0"/>
    <s v="Average"/>
    <s v="High"/>
  </r>
  <r>
    <n v="41"/>
    <x v="0"/>
    <n v="31"/>
    <x v="1"/>
    <n v="7.7"/>
    <n v="7"/>
    <n v="75"/>
    <x v="0"/>
    <x v="1"/>
    <n v="120"/>
    <n v="80"/>
    <n v="8000"/>
    <x v="0"/>
    <s v="Average"/>
    <s v="High"/>
  </r>
  <r>
    <n v="42"/>
    <x v="0"/>
    <n v="31"/>
    <x v="1"/>
    <n v="7.7"/>
    <n v="7"/>
    <n v="75"/>
    <x v="0"/>
    <x v="1"/>
    <n v="120"/>
    <n v="80"/>
    <n v="8000"/>
    <x v="0"/>
    <s v="Average"/>
    <s v="High"/>
  </r>
  <r>
    <n v="43"/>
    <x v="0"/>
    <n v="31"/>
    <x v="1"/>
    <n v="7.7"/>
    <n v="7"/>
    <n v="75"/>
    <x v="0"/>
    <x v="1"/>
    <n v="120"/>
    <n v="80"/>
    <n v="8000"/>
    <x v="0"/>
    <s v="Average"/>
    <s v="High"/>
  </r>
  <r>
    <n v="44"/>
    <x v="0"/>
    <n v="31"/>
    <x v="1"/>
    <n v="7.8"/>
    <n v="7"/>
    <n v="75"/>
    <x v="0"/>
    <x v="1"/>
    <n v="120"/>
    <n v="80"/>
    <n v="8000"/>
    <x v="0"/>
    <s v="Average"/>
    <s v="High"/>
  </r>
  <r>
    <n v="45"/>
    <x v="0"/>
    <n v="31"/>
    <x v="1"/>
    <n v="7.7"/>
    <n v="7"/>
    <n v="75"/>
    <x v="0"/>
    <x v="1"/>
    <n v="120"/>
    <n v="80"/>
    <n v="8000"/>
    <x v="0"/>
    <s v="Average"/>
    <s v="High"/>
  </r>
  <r>
    <n v="46"/>
    <x v="0"/>
    <n v="31"/>
    <x v="1"/>
    <n v="7.8"/>
    <n v="7"/>
    <n v="75"/>
    <x v="0"/>
    <x v="1"/>
    <n v="120"/>
    <n v="80"/>
    <n v="8000"/>
    <x v="0"/>
    <s v="Average"/>
    <s v="High"/>
  </r>
  <r>
    <n v="47"/>
    <x v="0"/>
    <n v="31"/>
    <x v="1"/>
    <n v="7.7"/>
    <n v="7"/>
    <n v="75"/>
    <x v="0"/>
    <x v="1"/>
    <n v="120"/>
    <n v="80"/>
    <n v="8000"/>
    <x v="0"/>
    <s v="Average"/>
    <s v="High"/>
  </r>
  <r>
    <n v="48"/>
    <x v="0"/>
    <n v="31"/>
    <x v="1"/>
    <n v="7.8"/>
    <n v="7"/>
    <n v="75"/>
    <x v="0"/>
    <x v="1"/>
    <n v="120"/>
    <n v="80"/>
    <n v="8000"/>
    <x v="0"/>
    <s v="Average"/>
    <s v="High"/>
  </r>
  <r>
    <n v="49"/>
    <x v="0"/>
    <n v="31"/>
    <x v="1"/>
    <n v="7.7"/>
    <n v="7"/>
    <n v="75"/>
    <x v="0"/>
    <x v="1"/>
    <n v="120"/>
    <n v="80"/>
    <n v="8000"/>
    <x v="0"/>
    <s v="Average"/>
    <s v="High"/>
  </r>
  <r>
    <n v="50"/>
    <x v="0"/>
    <n v="31"/>
    <x v="1"/>
    <n v="7.7"/>
    <n v="7"/>
    <n v="75"/>
    <x v="0"/>
    <x v="1"/>
    <n v="120"/>
    <n v="80"/>
    <n v="8000"/>
    <x v="1"/>
    <s v="Average"/>
    <s v="High"/>
  </r>
  <r>
    <n v="51"/>
    <x v="0"/>
    <n v="32"/>
    <x v="5"/>
    <n v="7.5"/>
    <n v="8"/>
    <n v="45"/>
    <x v="4"/>
    <x v="1"/>
    <n v="120"/>
    <n v="80"/>
    <n v="8000"/>
    <x v="0"/>
    <s v="Average"/>
    <s v="Medium"/>
  </r>
  <r>
    <n v="52"/>
    <x v="0"/>
    <n v="32"/>
    <x v="5"/>
    <n v="7.5"/>
    <n v="8"/>
    <n v="45"/>
    <x v="4"/>
    <x v="1"/>
    <n v="120"/>
    <n v="80"/>
    <n v="8000"/>
    <x v="0"/>
    <s v="Average"/>
    <s v="Medium"/>
  </r>
  <r>
    <n v="53"/>
    <x v="0"/>
    <n v="32"/>
    <x v="1"/>
    <n v="6"/>
    <n v="6"/>
    <n v="30"/>
    <x v="1"/>
    <x v="1"/>
    <n v="125"/>
    <n v="80"/>
    <n v="5000"/>
    <x v="0"/>
    <s v="Average"/>
    <s v="Low"/>
  </r>
  <r>
    <n v="54"/>
    <x v="0"/>
    <n v="32"/>
    <x v="1"/>
    <n v="7.6"/>
    <n v="7"/>
    <n v="75"/>
    <x v="0"/>
    <x v="1"/>
    <n v="120"/>
    <n v="80"/>
    <n v="8000"/>
    <x v="0"/>
    <s v="Average"/>
    <s v="High"/>
  </r>
  <r>
    <n v="55"/>
    <x v="0"/>
    <n v="32"/>
    <x v="1"/>
    <n v="6"/>
    <n v="6"/>
    <n v="30"/>
    <x v="1"/>
    <x v="1"/>
    <n v="125"/>
    <n v="80"/>
    <n v="5000"/>
    <x v="0"/>
    <s v="Average"/>
    <s v="Low"/>
  </r>
  <r>
    <n v="56"/>
    <x v="0"/>
    <n v="32"/>
    <x v="1"/>
    <n v="6"/>
    <n v="6"/>
    <n v="30"/>
    <x v="1"/>
    <x v="1"/>
    <n v="125"/>
    <n v="80"/>
    <n v="5000"/>
    <x v="0"/>
    <s v="Average"/>
    <s v="Low"/>
  </r>
  <r>
    <n v="57"/>
    <x v="0"/>
    <n v="32"/>
    <x v="1"/>
    <n v="7.7"/>
    <n v="7"/>
    <n v="75"/>
    <x v="0"/>
    <x v="1"/>
    <n v="120"/>
    <n v="80"/>
    <n v="8000"/>
    <x v="0"/>
    <s v="Average"/>
    <s v="High"/>
  </r>
  <r>
    <n v="58"/>
    <x v="0"/>
    <n v="32"/>
    <x v="1"/>
    <n v="6"/>
    <n v="6"/>
    <n v="30"/>
    <x v="1"/>
    <x v="1"/>
    <n v="125"/>
    <n v="80"/>
    <n v="5000"/>
    <x v="0"/>
    <s v="Average"/>
    <s v="Low"/>
  </r>
  <r>
    <n v="59"/>
    <x v="0"/>
    <n v="32"/>
    <x v="1"/>
    <n v="6"/>
    <n v="6"/>
    <n v="30"/>
    <x v="1"/>
    <x v="1"/>
    <n v="125"/>
    <n v="80"/>
    <n v="5000"/>
    <x v="0"/>
    <s v="Average"/>
    <s v="Low"/>
  </r>
  <r>
    <n v="60"/>
    <x v="0"/>
    <n v="32"/>
    <x v="1"/>
    <n v="7.7"/>
    <n v="7"/>
    <n v="75"/>
    <x v="0"/>
    <x v="1"/>
    <n v="120"/>
    <n v="80"/>
    <n v="8000"/>
    <x v="0"/>
    <s v="Average"/>
    <s v="High"/>
  </r>
  <r>
    <n v="61"/>
    <x v="0"/>
    <n v="32"/>
    <x v="1"/>
    <n v="6"/>
    <n v="6"/>
    <n v="30"/>
    <x v="1"/>
    <x v="1"/>
    <n v="125"/>
    <n v="80"/>
    <n v="5000"/>
    <x v="0"/>
    <s v="Average"/>
    <s v="Low"/>
  </r>
  <r>
    <n v="62"/>
    <x v="0"/>
    <n v="32"/>
    <x v="1"/>
    <n v="6"/>
    <n v="6"/>
    <n v="30"/>
    <x v="1"/>
    <x v="1"/>
    <n v="125"/>
    <n v="80"/>
    <n v="5000"/>
    <x v="0"/>
    <s v="Average"/>
    <s v="Low"/>
  </r>
  <r>
    <n v="63"/>
    <x v="0"/>
    <n v="32"/>
    <x v="1"/>
    <n v="6.2"/>
    <n v="6"/>
    <n v="30"/>
    <x v="1"/>
    <x v="1"/>
    <n v="125"/>
    <n v="80"/>
    <n v="5000"/>
    <x v="0"/>
    <s v="Average"/>
    <s v="Low"/>
  </r>
  <r>
    <n v="64"/>
    <x v="0"/>
    <n v="32"/>
    <x v="1"/>
    <n v="6.2"/>
    <n v="6"/>
    <n v="30"/>
    <x v="1"/>
    <x v="1"/>
    <n v="125"/>
    <n v="80"/>
    <n v="5000"/>
    <x v="0"/>
    <s v="Average"/>
    <s v="Low"/>
  </r>
  <r>
    <n v="65"/>
    <x v="0"/>
    <n v="32"/>
    <x v="1"/>
    <n v="6.2"/>
    <n v="6"/>
    <n v="30"/>
    <x v="1"/>
    <x v="1"/>
    <n v="125"/>
    <n v="80"/>
    <n v="5000"/>
    <x v="0"/>
    <s v="Average"/>
    <s v="Low"/>
  </r>
  <r>
    <n v="66"/>
    <x v="0"/>
    <n v="32"/>
    <x v="1"/>
    <n v="6.2"/>
    <n v="6"/>
    <n v="30"/>
    <x v="1"/>
    <x v="1"/>
    <n v="125"/>
    <n v="80"/>
    <n v="5000"/>
    <x v="0"/>
    <s v="Average"/>
    <s v="Low"/>
  </r>
  <r>
    <n v="67"/>
    <x v="0"/>
    <n v="32"/>
    <x v="6"/>
    <n v="7.2"/>
    <n v="8"/>
    <n v="50"/>
    <x v="0"/>
    <x v="3"/>
    <n v="118"/>
    <n v="76"/>
    <n v="7000"/>
    <x v="0"/>
    <s v="Average"/>
    <s v="Medium"/>
  </r>
  <r>
    <n v="68"/>
    <x v="0"/>
    <n v="33"/>
    <x v="1"/>
    <n v="6"/>
    <n v="6"/>
    <n v="30"/>
    <x v="1"/>
    <x v="1"/>
    <n v="125"/>
    <n v="80"/>
    <n v="5000"/>
    <x v="2"/>
    <s v="Average"/>
    <s v="Low"/>
  </r>
  <r>
    <n v="69"/>
    <x v="1"/>
    <n v="33"/>
    <x v="7"/>
    <n v="6.2"/>
    <n v="6"/>
    <n v="50"/>
    <x v="0"/>
    <x v="0"/>
    <n v="128"/>
    <n v="85"/>
    <n v="5500"/>
    <x v="0"/>
    <s v="Average"/>
    <s v="Medium"/>
  </r>
  <r>
    <n v="70"/>
    <x v="1"/>
    <n v="33"/>
    <x v="7"/>
    <n v="6.2"/>
    <n v="6"/>
    <n v="50"/>
    <x v="0"/>
    <x v="0"/>
    <n v="128"/>
    <n v="85"/>
    <n v="5500"/>
    <x v="0"/>
    <s v="Average"/>
    <s v="Medium"/>
  </r>
  <r>
    <n v="71"/>
    <x v="0"/>
    <n v="33"/>
    <x v="1"/>
    <n v="6.1"/>
    <n v="6"/>
    <n v="30"/>
    <x v="1"/>
    <x v="1"/>
    <n v="125"/>
    <n v="80"/>
    <n v="5000"/>
    <x v="0"/>
    <s v="Average"/>
    <s v="Low"/>
  </r>
  <r>
    <n v="72"/>
    <x v="0"/>
    <n v="33"/>
    <x v="1"/>
    <n v="6.1"/>
    <n v="6"/>
    <n v="30"/>
    <x v="1"/>
    <x v="1"/>
    <n v="125"/>
    <n v="80"/>
    <n v="5000"/>
    <x v="0"/>
    <s v="Average"/>
    <s v="Low"/>
  </r>
  <r>
    <n v="73"/>
    <x v="0"/>
    <n v="33"/>
    <x v="1"/>
    <n v="6.1"/>
    <n v="6"/>
    <n v="30"/>
    <x v="1"/>
    <x v="1"/>
    <n v="125"/>
    <n v="80"/>
    <n v="5000"/>
    <x v="0"/>
    <s v="Average"/>
    <s v="Low"/>
  </r>
  <r>
    <n v="74"/>
    <x v="0"/>
    <n v="33"/>
    <x v="1"/>
    <n v="6.1"/>
    <n v="6"/>
    <n v="30"/>
    <x v="1"/>
    <x v="1"/>
    <n v="125"/>
    <n v="80"/>
    <n v="5000"/>
    <x v="0"/>
    <s v="Average"/>
    <s v="Low"/>
  </r>
  <r>
    <n v="75"/>
    <x v="0"/>
    <n v="33"/>
    <x v="1"/>
    <n v="6"/>
    <n v="6"/>
    <n v="30"/>
    <x v="1"/>
    <x v="1"/>
    <n v="125"/>
    <n v="80"/>
    <n v="5000"/>
    <x v="0"/>
    <s v="Average"/>
    <s v="Low"/>
  </r>
  <r>
    <n v="76"/>
    <x v="0"/>
    <n v="33"/>
    <x v="1"/>
    <n v="6"/>
    <n v="6"/>
    <n v="30"/>
    <x v="1"/>
    <x v="1"/>
    <n v="125"/>
    <n v="80"/>
    <n v="5000"/>
    <x v="0"/>
    <s v="Average"/>
    <s v="Low"/>
  </r>
  <r>
    <n v="77"/>
    <x v="0"/>
    <n v="33"/>
    <x v="1"/>
    <n v="6"/>
    <n v="6"/>
    <n v="30"/>
    <x v="1"/>
    <x v="1"/>
    <n v="125"/>
    <n v="80"/>
    <n v="5000"/>
    <x v="0"/>
    <s v="Average"/>
    <s v="Low"/>
  </r>
  <r>
    <n v="78"/>
    <x v="0"/>
    <n v="33"/>
    <x v="1"/>
    <n v="6"/>
    <n v="6"/>
    <n v="30"/>
    <x v="1"/>
    <x v="1"/>
    <n v="125"/>
    <n v="80"/>
    <n v="5000"/>
    <x v="0"/>
    <s v="Average"/>
    <s v="Low"/>
  </r>
  <r>
    <n v="79"/>
    <x v="0"/>
    <n v="33"/>
    <x v="1"/>
    <n v="6"/>
    <n v="6"/>
    <n v="30"/>
    <x v="1"/>
    <x v="1"/>
    <n v="125"/>
    <n v="80"/>
    <n v="5000"/>
    <x v="0"/>
    <s v="Average"/>
    <s v="Low"/>
  </r>
  <r>
    <n v="80"/>
    <x v="0"/>
    <n v="33"/>
    <x v="1"/>
    <n v="6"/>
    <n v="6"/>
    <n v="30"/>
    <x v="1"/>
    <x v="1"/>
    <n v="125"/>
    <n v="80"/>
    <n v="5000"/>
    <x v="0"/>
    <s v="Average"/>
    <s v="Low"/>
  </r>
  <r>
    <n v="81"/>
    <x v="1"/>
    <n v="34"/>
    <x v="7"/>
    <n v="5.8"/>
    <n v="4"/>
    <n v="32"/>
    <x v="1"/>
    <x v="0"/>
    <n v="131"/>
    <n v="86"/>
    <n v="5200"/>
    <x v="1"/>
    <s v="Average"/>
    <s v="Low"/>
  </r>
  <r>
    <n v="82"/>
    <x v="1"/>
    <n v="34"/>
    <x v="7"/>
    <n v="5.8"/>
    <n v="4"/>
    <n v="32"/>
    <x v="1"/>
    <x v="0"/>
    <n v="131"/>
    <n v="86"/>
    <n v="5200"/>
    <x v="1"/>
    <s v="Average"/>
    <s v="Low"/>
  </r>
  <r>
    <n v="83"/>
    <x v="0"/>
    <n v="35"/>
    <x v="3"/>
    <n v="6.7"/>
    <n v="7"/>
    <n v="40"/>
    <x v="5"/>
    <x v="0"/>
    <n v="128"/>
    <n v="84"/>
    <n v="5600"/>
    <x v="0"/>
    <s v="Average"/>
    <s v="Medium"/>
  </r>
  <r>
    <n v="84"/>
    <x v="0"/>
    <n v="35"/>
    <x v="3"/>
    <n v="6.7"/>
    <n v="7"/>
    <n v="40"/>
    <x v="5"/>
    <x v="0"/>
    <n v="128"/>
    <n v="84"/>
    <n v="5600"/>
    <x v="0"/>
    <s v="Average"/>
    <s v="Medium"/>
  </r>
  <r>
    <n v="85"/>
    <x v="0"/>
    <n v="35"/>
    <x v="0"/>
    <n v="7.5"/>
    <n v="8"/>
    <n v="60"/>
    <x v="5"/>
    <x v="3"/>
    <n v="120"/>
    <n v="80"/>
    <n v="8000"/>
    <x v="0"/>
    <s v="Average"/>
    <s v="High"/>
  </r>
  <r>
    <n v="86"/>
    <x v="1"/>
    <n v="35"/>
    <x v="6"/>
    <n v="7.2"/>
    <n v="8"/>
    <n v="60"/>
    <x v="3"/>
    <x v="1"/>
    <n v="115"/>
    <n v="75"/>
    <n v="7000"/>
    <x v="0"/>
    <s v="Average"/>
    <s v="High"/>
  </r>
  <r>
    <n v="87"/>
    <x v="0"/>
    <n v="35"/>
    <x v="5"/>
    <n v="7.2"/>
    <n v="8"/>
    <n v="60"/>
    <x v="3"/>
    <x v="1"/>
    <n v="125"/>
    <n v="80"/>
    <n v="5000"/>
    <x v="0"/>
    <s v="Average"/>
    <s v="High"/>
  </r>
  <r>
    <n v="88"/>
    <x v="0"/>
    <n v="35"/>
    <x v="5"/>
    <n v="7.2"/>
    <n v="8"/>
    <n v="60"/>
    <x v="3"/>
    <x v="1"/>
    <n v="125"/>
    <n v="80"/>
    <n v="5000"/>
    <x v="0"/>
    <s v="Average"/>
    <s v="High"/>
  </r>
  <r>
    <n v="89"/>
    <x v="0"/>
    <n v="35"/>
    <x v="5"/>
    <n v="7.3"/>
    <n v="8"/>
    <n v="60"/>
    <x v="3"/>
    <x v="1"/>
    <n v="125"/>
    <n v="80"/>
    <n v="5000"/>
    <x v="0"/>
    <s v="Average"/>
    <s v="High"/>
  </r>
  <r>
    <n v="90"/>
    <x v="0"/>
    <n v="35"/>
    <x v="5"/>
    <n v="7.3"/>
    <n v="8"/>
    <n v="60"/>
    <x v="3"/>
    <x v="1"/>
    <n v="125"/>
    <n v="80"/>
    <n v="5000"/>
    <x v="0"/>
    <s v="Average"/>
    <s v="High"/>
  </r>
  <r>
    <n v="91"/>
    <x v="0"/>
    <n v="35"/>
    <x v="5"/>
    <n v="7.3"/>
    <n v="8"/>
    <n v="60"/>
    <x v="3"/>
    <x v="1"/>
    <n v="125"/>
    <n v="80"/>
    <n v="5000"/>
    <x v="0"/>
    <s v="Average"/>
    <s v="High"/>
  </r>
  <r>
    <n v="92"/>
    <x v="0"/>
    <n v="35"/>
    <x v="5"/>
    <n v="7.3"/>
    <n v="8"/>
    <n v="60"/>
    <x v="3"/>
    <x v="1"/>
    <n v="125"/>
    <n v="80"/>
    <n v="5000"/>
    <x v="0"/>
    <s v="Average"/>
    <s v="High"/>
  </r>
  <r>
    <n v="93"/>
    <x v="0"/>
    <n v="35"/>
    <x v="0"/>
    <n v="7.5"/>
    <n v="8"/>
    <n v="60"/>
    <x v="5"/>
    <x v="3"/>
    <n v="120"/>
    <n v="80"/>
    <n v="8000"/>
    <x v="0"/>
    <s v="Average"/>
    <s v="High"/>
  </r>
  <r>
    <n v="94"/>
    <x v="0"/>
    <n v="35"/>
    <x v="8"/>
    <n v="7.4"/>
    <n v="7"/>
    <n v="60"/>
    <x v="5"/>
    <x v="2"/>
    <n v="135"/>
    <n v="88"/>
    <n v="3300"/>
    <x v="1"/>
    <s v="Average"/>
    <s v="High"/>
  </r>
  <r>
    <n v="95"/>
    <x v="1"/>
    <n v="36"/>
    <x v="6"/>
    <n v="7.2"/>
    <n v="8"/>
    <n v="60"/>
    <x v="3"/>
    <x v="1"/>
    <n v="115"/>
    <n v="75"/>
    <n v="7000"/>
    <x v="2"/>
    <s v="Average"/>
    <s v="High"/>
  </r>
  <r>
    <n v="96"/>
    <x v="1"/>
    <n v="36"/>
    <x v="6"/>
    <n v="7.1"/>
    <n v="8"/>
    <n v="60"/>
    <x v="3"/>
    <x v="1"/>
    <n v="115"/>
    <n v="75"/>
    <n v="7000"/>
    <x v="0"/>
    <s v="Average"/>
    <s v="High"/>
  </r>
  <r>
    <n v="97"/>
    <x v="1"/>
    <n v="36"/>
    <x v="6"/>
    <n v="7.2"/>
    <n v="8"/>
    <n v="60"/>
    <x v="3"/>
    <x v="1"/>
    <n v="115"/>
    <n v="75"/>
    <n v="7000"/>
    <x v="0"/>
    <s v="Average"/>
    <s v="High"/>
  </r>
  <r>
    <n v="98"/>
    <x v="1"/>
    <n v="36"/>
    <x v="6"/>
    <n v="7.1"/>
    <n v="8"/>
    <n v="60"/>
    <x v="3"/>
    <x v="1"/>
    <n v="115"/>
    <n v="75"/>
    <n v="7000"/>
    <x v="0"/>
    <s v="Average"/>
    <s v="High"/>
  </r>
  <r>
    <n v="99"/>
    <x v="1"/>
    <n v="36"/>
    <x v="3"/>
    <n v="7.1"/>
    <n v="8"/>
    <n v="60"/>
    <x v="3"/>
    <x v="1"/>
    <n v="115"/>
    <n v="75"/>
    <n v="7000"/>
    <x v="0"/>
    <s v="Average"/>
    <s v="High"/>
  </r>
  <r>
    <n v="100"/>
    <x v="1"/>
    <n v="36"/>
    <x v="3"/>
    <n v="7.1"/>
    <n v="8"/>
    <n v="60"/>
    <x v="3"/>
    <x v="1"/>
    <n v="115"/>
    <n v="75"/>
    <n v="7000"/>
    <x v="0"/>
    <s v="Average"/>
    <s v="High"/>
  </r>
  <r>
    <n v="101"/>
    <x v="1"/>
    <n v="36"/>
    <x v="3"/>
    <n v="7.2"/>
    <n v="8"/>
    <n v="60"/>
    <x v="3"/>
    <x v="1"/>
    <n v="115"/>
    <n v="75"/>
    <n v="7000"/>
    <x v="0"/>
    <s v="Average"/>
    <s v="High"/>
  </r>
  <r>
    <n v="102"/>
    <x v="1"/>
    <n v="36"/>
    <x v="3"/>
    <n v="7.2"/>
    <n v="8"/>
    <n v="60"/>
    <x v="3"/>
    <x v="1"/>
    <n v="115"/>
    <n v="75"/>
    <n v="7000"/>
    <x v="0"/>
    <s v="Average"/>
    <s v="High"/>
  </r>
  <r>
    <n v="103"/>
    <x v="1"/>
    <n v="36"/>
    <x v="3"/>
    <n v="7.2"/>
    <n v="8"/>
    <n v="60"/>
    <x v="3"/>
    <x v="1"/>
    <n v="115"/>
    <n v="75"/>
    <n v="7000"/>
    <x v="0"/>
    <s v="Average"/>
    <s v="High"/>
  </r>
  <r>
    <n v="104"/>
    <x v="0"/>
    <n v="36"/>
    <x v="3"/>
    <n v="6.6"/>
    <n v="5"/>
    <n v="35"/>
    <x v="2"/>
    <x v="0"/>
    <n v="129"/>
    <n v="84"/>
    <n v="4800"/>
    <x v="1"/>
    <s v="Average"/>
    <s v="Low"/>
  </r>
  <r>
    <n v="105"/>
    <x v="1"/>
    <n v="36"/>
    <x v="3"/>
    <n v="7.2"/>
    <n v="8"/>
    <n v="60"/>
    <x v="3"/>
    <x v="1"/>
    <n v="115"/>
    <n v="75"/>
    <n v="7000"/>
    <x v="1"/>
    <s v="Average"/>
    <s v="High"/>
  </r>
  <r>
    <n v="106"/>
    <x v="0"/>
    <n v="36"/>
    <x v="3"/>
    <n v="6.6"/>
    <n v="5"/>
    <n v="35"/>
    <x v="2"/>
    <x v="0"/>
    <n v="129"/>
    <n v="84"/>
    <n v="4800"/>
    <x v="2"/>
    <s v="Average"/>
    <s v="Low"/>
  </r>
  <r>
    <n v="107"/>
    <x v="1"/>
    <n v="37"/>
    <x v="4"/>
    <n v="6.1"/>
    <n v="6"/>
    <n v="42"/>
    <x v="0"/>
    <x v="0"/>
    <n v="126"/>
    <n v="83"/>
    <n v="4200"/>
    <x v="0"/>
    <s v="Average"/>
    <s v="Medium"/>
  </r>
  <r>
    <n v="108"/>
    <x v="0"/>
    <n v="37"/>
    <x v="5"/>
    <n v="7.8"/>
    <n v="8"/>
    <n v="70"/>
    <x v="3"/>
    <x v="3"/>
    <n v="120"/>
    <n v="80"/>
    <n v="7000"/>
    <x v="0"/>
    <s v="Average"/>
    <s v="High"/>
  </r>
  <r>
    <n v="109"/>
    <x v="0"/>
    <n v="37"/>
    <x v="5"/>
    <n v="7.8"/>
    <n v="8"/>
    <n v="70"/>
    <x v="3"/>
    <x v="3"/>
    <n v="120"/>
    <n v="80"/>
    <n v="7000"/>
    <x v="0"/>
    <s v="Average"/>
    <s v="High"/>
  </r>
  <r>
    <n v="110"/>
    <x v="0"/>
    <n v="37"/>
    <x v="8"/>
    <n v="7.4"/>
    <n v="8"/>
    <n v="60"/>
    <x v="5"/>
    <x v="1"/>
    <n v="130"/>
    <n v="85"/>
    <n v="8000"/>
    <x v="0"/>
    <s v="Average"/>
    <s v="High"/>
  </r>
  <r>
    <n v="111"/>
    <x v="1"/>
    <n v="37"/>
    <x v="6"/>
    <n v="7.2"/>
    <n v="8"/>
    <n v="60"/>
    <x v="3"/>
    <x v="1"/>
    <n v="115"/>
    <n v="75"/>
    <n v="7000"/>
    <x v="0"/>
    <s v="Average"/>
    <s v="High"/>
  </r>
  <r>
    <n v="112"/>
    <x v="0"/>
    <n v="37"/>
    <x v="8"/>
    <n v="7.4"/>
    <n v="8"/>
    <n v="60"/>
    <x v="5"/>
    <x v="1"/>
    <n v="130"/>
    <n v="85"/>
    <n v="8000"/>
    <x v="0"/>
    <s v="Average"/>
    <s v="High"/>
  </r>
  <r>
    <n v="113"/>
    <x v="1"/>
    <n v="37"/>
    <x v="6"/>
    <n v="7.2"/>
    <n v="8"/>
    <n v="60"/>
    <x v="3"/>
    <x v="1"/>
    <n v="115"/>
    <n v="75"/>
    <n v="7000"/>
    <x v="0"/>
    <s v="Average"/>
    <s v="High"/>
  </r>
  <r>
    <n v="114"/>
    <x v="0"/>
    <n v="37"/>
    <x v="8"/>
    <n v="7.4"/>
    <n v="8"/>
    <n v="60"/>
    <x v="5"/>
    <x v="1"/>
    <n v="130"/>
    <n v="85"/>
    <n v="8000"/>
    <x v="0"/>
    <s v="Average"/>
    <s v="High"/>
  </r>
  <r>
    <n v="115"/>
    <x v="1"/>
    <n v="37"/>
    <x v="6"/>
    <n v="7.2"/>
    <n v="8"/>
    <n v="60"/>
    <x v="3"/>
    <x v="1"/>
    <n v="115"/>
    <n v="75"/>
    <n v="7000"/>
    <x v="0"/>
    <s v="Average"/>
    <s v="High"/>
  </r>
  <r>
    <n v="116"/>
    <x v="1"/>
    <n v="37"/>
    <x v="6"/>
    <n v="7.2"/>
    <n v="8"/>
    <n v="60"/>
    <x v="3"/>
    <x v="1"/>
    <n v="115"/>
    <n v="75"/>
    <n v="7000"/>
    <x v="0"/>
    <s v="Average"/>
    <s v="High"/>
  </r>
  <r>
    <n v="117"/>
    <x v="1"/>
    <n v="37"/>
    <x v="6"/>
    <n v="7.2"/>
    <n v="8"/>
    <n v="60"/>
    <x v="3"/>
    <x v="1"/>
    <n v="115"/>
    <n v="75"/>
    <n v="7000"/>
    <x v="0"/>
    <s v="Average"/>
    <s v="High"/>
  </r>
  <r>
    <n v="118"/>
    <x v="1"/>
    <n v="37"/>
    <x v="6"/>
    <n v="7.2"/>
    <n v="8"/>
    <n v="60"/>
    <x v="3"/>
    <x v="1"/>
    <n v="115"/>
    <n v="75"/>
    <n v="7000"/>
    <x v="0"/>
    <s v="Average"/>
    <s v="High"/>
  </r>
  <r>
    <n v="119"/>
    <x v="1"/>
    <n v="37"/>
    <x v="6"/>
    <n v="7.2"/>
    <n v="8"/>
    <n v="60"/>
    <x v="3"/>
    <x v="1"/>
    <n v="115"/>
    <n v="75"/>
    <n v="7000"/>
    <x v="0"/>
    <s v="Average"/>
    <s v="High"/>
  </r>
  <r>
    <n v="120"/>
    <x v="1"/>
    <n v="37"/>
    <x v="6"/>
    <n v="7.2"/>
    <n v="8"/>
    <n v="60"/>
    <x v="3"/>
    <x v="1"/>
    <n v="115"/>
    <n v="75"/>
    <n v="7000"/>
    <x v="0"/>
    <s v="Average"/>
    <s v="High"/>
  </r>
  <r>
    <n v="121"/>
    <x v="1"/>
    <n v="37"/>
    <x v="6"/>
    <n v="7.2"/>
    <n v="8"/>
    <n v="60"/>
    <x v="3"/>
    <x v="1"/>
    <n v="115"/>
    <n v="75"/>
    <n v="7000"/>
    <x v="0"/>
    <s v="Average"/>
    <s v="High"/>
  </r>
  <r>
    <n v="122"/>
    <x v="1"/>
    <n v="37"/>
    <x v="6"/>
    <n v="7.2"/>
    <n v="8"/>
    <n v="60"/>
    <x v="3"/>
    <x v="1"/>
    <n v="115"/>
    <n v="75"/>
    <n v="7000"/>
    <x v="0"/>
    <s v="Average"/>
    <s v="High"/>
  </r>
  <r>
    <n v="123"/>
    <x v="1"/>
    <n v="37"/>
    <x v="6"/>
    <n v="7.2"/>
    <n v="8"/>
    <n v="60"/>
    <x v="3"/>
    <x v="1"/>
    <n v="115"/>
    <n v="75"/>
    <n v="7000"/>
    <x v="0"/>
    <s v="Average"/>
    <s v="High"/>
  </r>
  <r>
    <n v="124"/>
    <x v="1"/>
    <n v="37"/>
    <x v="6"/>
    <n v="7.2"/>
    <n v="8"/>
    <n v="60"/>
    <x v="3"/>
    <x v="1"/>
    <n v="115"/>
    <n v="75"/>
    <n v="7000"/>
    <x v="0"/>
    <s v="Average"/>
    <s v="High"/>
  </r>
  <r>
    <n v="125"/>
    <x v="1"/>
    <n v="37"/>
    <x v="6"/>
    <n v="7.2"/>
    <n v="8"/>
    <n v="60"/>
    <x v="3"/>
    <x v="1"/>
    <n v="115"/>
    <n v="75"/>
    <n v="7000"/>
    <x v="0"/>
    <s v="Average"/>
    <s v="High"/>
  </r>
  <r>
    <n v="126"/>
    <x v="1"/>
    <n v="37"/>
    <x v="4"/>
    <n v="7.5"/>
    <n v="8"/>
    <n v="60"/>
    <x v="3"/>
    <x v="3"/>
    <n v="120"/>
    <n v="80"/>
    <n v="8000"/>
    <x v="0"/>
    <s v="Average"/>
    <s v="High"/>
  </r>
  <r>
    <n v="127"/>
    <x v="0"/>
    <n v="38"/>
    <x v="8"/>
    <n v="7.3"/>
    <n v="8"/>
    <n v="60"/>
    <x v="5"/>
    <x v="1"/>
    <n v="130"/>
    <n v="85"/>
    <n v="8000"/>
    <x v="0"/>
    <s v="Average"/>
    <s v="High"/>
  </r>
  <r>
    <n v="128"/>
    <x v="1"/>
    <n v="38"/>
    <x v="6"/>
    <n v="7.1"/>
    <n v="8"/>
    <n v="60"/>
    <x v="3"/>
    <x v="1"/>
    <n v="115"/>
    <n v="75"/>
    <n v="7000"/>
    <x v="0"/>
    <s v="Average"/>
    <s v="High"/>
  </r>
  <r>
    <n v="129"/>
    <x v="0"/>
    <n v="38"/>
    <x v="8"/>
    <n v="7.3"/>
    <n v="8"/>
    <n v="60"/>
    <x v="5"/>
    <x v="1"/>
    <n v="130"/>
    <n v="85"/>
    <n v="8000"/>
    <x v="0"/>
    <s v="Average"/>
    <s v="High"/>
  </r>
  <r>
    <n v="130"/>
    <x v="0"/>
    <n v="38"/>
    <x v="8"/>
    <n v="7.3"/>
    <n v="8"/>
    <n v="60"/>
    <x v="5"/>
    <x v="1"/>
    <n v="130"/>
    <n v="85"/>
    <n v="8000"/>
    <x v="0"/>
    <s v="Average"/>
    <s v="High"/>
  </r>
  <r>
    <n v="131"/>
    <x v="1"/>
    <n v="38"/>
    <x v="6"/>
    <n v="7.1"/>
    <n v="8"/>
    <n v="60"/>
    <x v="3"/>
    <x v="1"/>
    <n v="115"/>
    <n v="75"/>
    <n v="7000"/>
    <x v="0"/>
    <s v="Average"/>
    <s v="High"/>
  </r>
  <r>
    <n v="132"/>
    <x v="0"/>
    <n v="38"/>
    <x v="8"/>
    <n v="7.3"/>
    <n v="8"/>
    <n v="60"/>
    <x v="5"/>
    <x v="1"/>
    <n v="130"/>
    <n v="85"/>
    <n v="8000"/>
    <x v="0"/>
    <s v="Average"/>
    <s v="High"/>
  </r>
  <r>
    <n v="133"/>
    <x v="0"/>
    <n v="38"/>
    <x v="8"/>
    <n v="7.3"/>
    <n v="8"/>
    <n v="60"/>
    <x v="5"/>
    <x v="1"/>
    <n v="130"/>
    <n v="85"/>
    <n v="8000"/>
    <x v="0"/>
    <s v="Average"/>
    <s v="High"/>
  </r>
  <r>
    <n v="134"/>
    <x v="1"/>
    <n v="38"/>
    <x v="6"/>
    <n v="7.1"/>
    <n v="8"/>
    <n v="60"/>
    <x v="3"/>
    <x v="1"/>
    <n v="115"/>
    <n v="75"/>
    <n v="7000"/>
    <x v="0"/>
    <s v="Average"/>
    <s v="High"/>
  </r>
  <r>
    <n v="135"/>
    <x v="0"/>
    <n v="38"/>
    <x v="8"/>
    <n v="7.3"/>
    <n v="8"/>
    <n v="60"/>
    <x v="5"/>
    <x v="1"/>
    <n v="130"/>
    <n v="85"/>
    <n v="8000"/>
    <x v="0"/>
    <s v="Average"/>
    <s v="High"/>
  </r>
  <r>
    <n v="136"/>
    <x v="0"/>
    <n v="38"/>
    <x v="8"/>
    <n v="7.3"/>
    <n v="8"/>
    <n v="60"/>
    <x v="5"/>
    <x v="1"/>
    <n v="130"/>
    <n v="85"/>
    <n v="8000"/>
    <x v="0"/>
    <s v="Average"/>
    <s v="High"/>
  </r>
  <r>
    <n v="137"/>
    <x v="1"/>
    <n v="38"/>
    <x v="6"/>
    <n v="7.1"/>
    <n v="8"/>
    <n v="60"/>
    <x v="3"/>
    <x v="1"/>
    <n v="115"/>
    <n v="75"/>
    <n v="7000"/>
    <x v="0"/>
    <s v="Average"/>
    <s v="High"/>
  </r>
  <r>
    <n v="138"/>
    <x v="0"/>
    <n v="38"/>
    <x v="8"/>
    <n v="7.1"/>
    <n v="8"/>
    <n v="60"/>
    <x v="5"/>
    <x v="1"/>
    <n v="130"/>
    <n v="85"/>
    <n v="8000"/>
    <x v="0"/>
    <s v="Average"/>
    <s v="High"/>
  </r>
  <r>
    <n v="139"/>
    <x v="1"/>
    <n v="38"/>
    <x v="6"/>
    <n v="7.1"/>
    <n v="8"/>
    <n v="60"/>
    <x v="3"/>
    <x v="1"/>
    <n v="115"/>
    <n v="75"/>
    <n v="7000"/>
    <x v="0"/>
    <s v="Average"/>
    <s v="High"/>
  </r>
  <r>
    <n v="140"/>
    <x v="0"/>
    <n v="38"/>
    <x v="8"/>
    <n v="7.1"/>
    <n v="8"/>
    <n v="60"/>
    <x v="5"/>
    <x v="1"/>
    <n v="130"/>
    <n v="85"/>
    <n v="8000"/>
    <x v="0"/>
    <s v="Average"/>
    <s v="High"/>
  </r>
  <r>
    <n v="141"/>
    <x v="1"/>
    <n v="38"/>
    <x v="6"/>
    <n v="7.1"/>
    <n v="8"/>
    <n v="60"/>
    <x v="3"/>
    <x v="1"/>
    <n v="115"/>
    <n v="75"/>
    <n v="7000"/>
    <x v="0"/>
    <s v="Average"/>
    <s v="High"/>
  </r>
  <r>
    <n v="142"/>
    <x v="0"/>
    <n v="38"/>
    <x v="8"/>
    <n v="7.1"/>
    <n v="8"/>
    <n v="60"/>
    <x v="5"/>
    <x v="1"/>
    <n v="130"/>
    <n v="85"/>
    <n v="8000"/>
    <x v="0"/>
    <s v="Average"/>
    <s v="High"/>
  </r>
  <r>
    <n v="143"/>
    <x v="1"/>
    <n v="38"/>
    <x v="6"/>
    <n v="7.1"/>
    <n v="8"/>
    <n v="60"/>
    <x v="3"/>
    <x v="1"/>
    <n v="115"/>
    <n v="75"/>
    <n v="7000"/>
    <x v="0"/>
    <s v="Average"/>
    <s v="High"/>
  </r>
  <r>
    <n v="144"/>
    <x v="1"/>
    <n v="38"/>
    <x v="6"/>
    <n v="7.1"/>
    <n v="8"/>
    <n v="60"/>
    <x v="3"/>
    <x v="1"/>
    <n v="115"/>
    <n v="75"/>
    <n v="7000"/>
    <x v="0"/>
    <s v="Average"/>
    <s v="High"/>
  </r>
  <r>
    <n v="145"/>
    <x v="0"/>
    <n v="38"/>
    <x v="8"/>
    <n v="7.1"/>
    <n v="8"/>
    <n v="60"/>
    <x v="5"/>
    <x v="1"/>
    <n v="130"/>
    <n v="85"/>
    <n v="8000"/>
    <x v="1"/>
    <s v="Average"/>
    <s v="High"/>
  </r>
  <r>
    <n v="146"/>
    <x v="1"/>
    <n v="38"/>
    <x v="8"/>
    <n v="7.4"/>
    <n v="7"/>
    <n v="60"/>
    <x v="5"/>
    <x v="2"/>
    <n v="135"/>
    <n v="88"/>
    <n v="3300"/>
    <x v="1"/>
    <s v="Average"/>
    <s v="High"/>
  </r>
  <r>
    <n v="147"/>
    <x v="0"/>
    <n v="39"/>
    <x v="8"/>
    <n v="7.2"/>
    <n v="8"/>
    <n v="60"/>
    <x v="5"/>
    <x v="1"/>
    <n v="130"/>
    <n v="85"/>
    <n v="8000"/>
    <x v="2"/>
    <s v="Average"/>
    <s v="High"/>
  </r>
  <r>
    <n v="148"/>
    <x v="0"/>
    <n v="39"/>
    <x v="5"/>
    <n v="6.5"/>
    <n v="5"/>
    <n v="40"/>
    <x v="2"/>
    <x v="0"/>
    <n v="132"/>
    <n v="87"/>
    <n v="4000"/>
    <x v="2"/>
    <s v="Average"/>
    <s v="Medium"/>
  </r>
  <r>
    <n v="149"/>
    <x v="1"/>
    <n v="39"/>
    <x v="8"/>
    <n v="6.9"/>
    <n v="7"/>
    <n v="50"/>
    <x v="0"/>
    <x v="3"/>
    <n v="128"/>
    <n v="85"/>
    <n v="5500"/>
    <x v="0"/>
    <s v="Average"/>
    <s v="Medium"/>
  </r>
  <r>
    <n v="150"/>
    <x v="1"/>
    <n v="39"/>
    <x v="6"/>
    <n v="8"/>
    <n v="9"/>
    <n v="80"/>
    <x v="4"/>
    <x v="3"/>
    <n v="115"/>
    <n v="78"/>
    <n v="7500"/>
    <x v="0"/>
    <s v="Good"/>
    <s v="High"/>
  </r>
  <r>
    <n v="151"/>
    <x v="1"/>
    <n v="39"/>
    <x v="6"/>
    <n v="8"/>
    <n v="9"/>
    <n v="80"/>
    <x v="4"/>
    <x v="3"/>
    <n v="115"/>
    <n v="78"/>
    <n v="7500"/>
    <x v="0"/>
    <s v="Good"/>
    <s v="High"/>
  </r>
  <r>
    <n v="152"/>
    <x v="0"/>
    <n v="39"/>
    <x v="8"/>
    <n v="7.2"/>
    <n v="8"/>
    <n v="60"/>
    <x v="5"/>
    <x v="1"/>
    <n v="130"/>
    <n v="85"/>
    <n v="8000"/>
    <x v="0"/>
    <s v="Average"/>
    <s v="High"/>
  </r>
  <r>
    <n v="153"/>
    <x v="0"/>
    <n v="39"/>
    <x v="8"/>
    <n v="7.2"/>
    <n v="8"/>
    <n v="60"/>
    <x v="5"/>
    <x v="1"/>
    <n v="130"/>
    <n v="85"/>
    <n v="8000"/>
    <x v="0"/>
    <s v="Average"/>
    <s v="High"/>
  </r>
  <r>
    <n v="154"/>
    <x v="0"/>
    <n v="39"/>
    <x v="8"/>
    <n v="7.2"/>
    <n v="8"/>
    <n v="60"/>
    <x v="5"/>
    <x v="1"/>
    <n v="130"/>
    <n v="85"/>
    <n v="8000"/>
    <x v="0"/>
    <s v="Average"/>
    <s v="High"/>
  </r>
  <r>
    <n v="155"/>
    <x v="0"/>
    <n v="39"/>
    <x v="8"/>
    <n v="7.2"/>
    <n v="8"/>
    <n v="60"/>
    <x v="5"/>
    <x v="1"/>
    <n v="130"/>
    <n v="85"/>
    <n v="8000"/>
    <x v="0"/>
    <s v="Average"/>
    <s v="High"/>
  </r>
  <r>
    <n v="156"/>
    <x v="0"/>
    <n v="39"/>
    <x v="8"/>
    <n v="7.2"/>
    <n v="8"/>
    <n v="60"/>
    <x v="5"/>
    <x v="1"/>
    <n v="130"/>
    <n v="85"/>
    <n v="8000"/>
    <x v="0"/>
    <s v="Average"/>
    <s v="High"/>
  </r>
  <r>
    <n v="157"/>
    <x v="0"/>
    <n v="39"/>
    <x v="8"/>
    <n v="7.2"/>
    <n v="8"/>
    <n v="60"/>
    <x v="5"/>
    <x v="1"/>
    <n v="130"/>
    <n v="85"/>
    <n v="8000"/>
    <x v="0"/>
    <s v="Average"/>
    <s v="High"/>
  </r>
  <r>
    <n v="158"/>
    <x v="0"/>
    <n v="39"/>
    <x v="8"/>
    <n v="7.2"/>
    <n v="8"/>
    <n v="60"/>
    <x v="5"/>
    <x v="1"/>
    <n v="130"/>
    <n v="85"/>
    <n v="8000"/>
    <x v="0"/>
    <s v="Average"/>
    <s v="High"/>
  </r>
  <r>
    <n v="159"/>
    <x v="0"/>
    <n v="39"/>
    <x v="8"/>
    <n v="7.2"/>
    <n v="8"/>
    <n v="60"/>
    <x v="5"/>
    <x v="1"/>
    <n v="130"/>
    <n v="85"/>
    <n v="8000"/>
    <x v="0"/>
    <s v="Average"/>
    <s v="High"/>
  </r>
  <r>
    <n v="160"/>
    <x v="0"/>
    <n v="39"/>
    <x v="8"/>
    <n v="7.2"/>
    <n v="8"/>
    <n v="60"/>
    <x v="5"/>
    <x v="1"/>
    <n v="130"/>
    <n v="85"/>
    <n v="8000"/>
    <x v="0"/>
    <s v="Average"/>
    <s v="High"/>
  </r>
  <r>
    <n v="161"/>
    <x v="0"/>
    <n v="39"/>
    <x v="8"/>
    <n v="7.2"/>
    <n v="8"/>
    <n v="60"/>
    <x v="5"/>
    <x v="1"/>
    <n v="130"/>
    <n v="85"/>
    <n v="8000"/>
    <x v="0"/>
    <s v="Average"/>
    <s v="High"/>
  </r>
  <r>
    <n v="162"/>
    <x v="1"/>
    <n v="40"/>
    <x v="6"/>
    <n v="7.2"/>
    <n v="8"/>
    <n v="55"/>
    <x v="0"/>
    <x v="3"/>
    <n v="119"/>
    <n v="77"/>
    <n v="7300"/>
    <x v="0"/>
    <s v="Average"/>
    <s v="Medium"/>
  </r>
  <r>
    <n v="163"/>
    <x v="1"/>
    <n v="40"/>
    <x v="6"/>
    <n v="7.2"/>
    <n v="8"/>
    <n v="55"/>
    <x v="0"/>
    <x v="3"/>
    <n v="119"/>
    <n v="77"/>
    <n v="7300"/>
    <x v="0"/>
    <s v="Average"/>
    <s v="Medium"/>
  </r>
  <r>
    <n v="164"/>
    <x v="0"/>
    <n v="40"/>
    <x v="8"/>
    <n v="7.9"/>
    <n v="8"/>
    <n v="90"/>
    <x v="5"/>
    <x v="1"/>
    <n v="130"/>
    <n v="85"/>
    <n v="8000"/>
    <x v="0"/>
    <s v="Average"/>
    <s v="High"/>
  </r>
  <r>
    <n v="165"/>
    <x v="0"/>
    <n v="40"/>
    <x v="8"/>
    <n v="7.9"/>
    <n v="8"/>
    <n v="90"/>
    <x v="5"/>
    <x v="1"/>
    <n v="130"/>
    <n v="85"/>
    <n v="8000"/>
    <x v="0"/>
    <s v="Average"/>
    <s v="High"/>
  </r>
  <r>
    <n v="166"/>
    <x v="0"/>
    <n v="41"/>
    <x v="8"/>
    <n v="7.6"/>
    <n v="8"/>
    <n v="90"/>
    <x v="5"/>
    <x v="1"/>
    <n v="130"/>
    <n v="85"/>
    <n v="8000"/>
    <x v="2"/>
    <s v="Average"/>
    <s v="High"/>
  </r>
  <r>
    <n v="167"/>
    <x v="0"/>
    <n v="41"/>
    <x v="5"/>
    <n v="7.3"/>
    <n v="8"/>
    <n v="70"/>
    <x v="0"/>
    <x v="3"/>
    <n v="121"/>
    <n v="79"/>
    <n v="6200"/>
    <x v="0"/>
    <s v="Average"/>
    <s v="High"/>
  </r>
  <r>
    <n v="168"/>
    <x v="0"/>
    <n v="41"/>
    <x v="8"/>
    <n v="7.1"/>
    <n v="7"/>
    <n v="55"/>
    <x v="0"/>
    <x v="0"/>
    <n v="125"/>
    <n v="82"/>
    <n v="6000"/>
    <x v="0"/>
    <s v="Average"/>
    <s v="Medium"/>
  </r>
  <r>
    <n v="169"/>
    <x v="0"/>
    <n v="41"/>
    <x v="8"/>
    <n v="7.1"/>
    <n v="7"/>
    <n v="55"/>
    <x v="0"/>
    <x v="0"/>
    <n v="125"/>
    <n v="82"/>
    <n v="6000"/>
    <x v="0"/>
    <s v="Average"/>
    <s v="Medium"/>
  </r>
  <r>
    <n v="170"/>
    <x v="0"/>
    <n v="41"/>
    <x v="8"/>
    <n v="7.7"/>
    <n v="8"/>
    <n v="90"/>
    <x v="5"/>
    <x v="1"/>
    <n v="130"/>
    <n v="85"/>
    <n v="8000"/>
    <x v="0"/>
    <s v="Average"/>
    <s v="High"/>
  </r>
  <r>
    <n v="171"/>
    <x v="0"/>
    <n v="41"/>
    <x v="8"/>
    <n v="7.7"/>
    <n v="8"/>
    <n v="90"/>
    <x v="5"/>
    <x v="1"/>
    <n v="130"/>
    <n v="85"/>
    <n v="8000"/>
    <x v="0"/>
    <s v="Average"/>
    <s v="High"/>
  </r>
  <r>
    <n v="172"/>
    <x v="0"/>
    <n v="41"/>
    <x v="8"/>
    <n v="7.7"/>
    <n v="8"/>
    <n v="90"/>
    <x v="5"/>
    <x v="1"/>
    <n v="130"/>
    <n v="85"/>
    <n v="8000"/>
    <x v="0"/>
    <s v="Average"/>
    <s v="High"/>
  </r>
  <r>
    <n v="173"/>
    <x v="0"/>
    <n v="41"/>
    <x v="8"/>
    <n v="7.7"/>
    <n v="8"/>
    <n v="90"/>
    <x v="5"/>
    <x v="1"/>
    <n v="130"/>
    <n v="85"/>
    <n v="8000"/>
    <x v="0"/>
    <s v="Average"/>
    <s v="High"/>
  </r>
  <r>
    <n v="174"/>
    <x v="0"/>
    <n v="41"/>
    <x v="8"/>
    <n v="7.7"/>
    <n v="8"/>
    <n v="90"/>
    <x v="5"/>
    <x v="1"/>
    <n v="130"/>
    <n v="85"/>
    <n v="8000"/>
    <x v="0"/>
    <s v="Average"/>
    <s v="High"/>
  </r>
  <r>
    <n v="175"/>
    <x v="0"/>
    <n v="41"/>
    <x v="8"/>
    <n v="7.6"/>
    <n v="8"/>
    <n v="90"/>
    <x v="5"/>
    <x v="1"/>
    <n v="130"/>
    <n v="85"/>
    <n v="8000"/>
    <x v="0"/>
    <s v="Average"/>
    <s v="High"/>
  </r>
  <r>
    <n v="176"/>
    <x v="0"/>
    <n v="41"/>
    <x v="8"/>
    <n v="7.6"/>
    <n v="8"/>
    <n v="90"/>
    <x v="5"/>
    <x v="1"/>
    <n v="130"/>
    <n v="85"/>
    <n v="8000"/>
    <x v="0"/>
    <s v="Average"/>
    <s v="High"/>
  </r>
  <r>
    <n v="177"/>
    <x v="0"/>
    <n v="41"/>
    <x v="8"/>
    <n v="7.6"/>
    <n v="8"/>
    <n v="90"/>
    <x v="5"/>
    <x v="1"/>
    <n v="130"/>
    <n v="85"/>
    <n v="8000"/>
    <x v="0"/>
    <s v="Average"/>
    <s v="High"/>
  </r>
  <r>
    <n v="178"/>
    <x v="0"/>
    <n v="42"/>
    <x v="9"/>
    <n v="6.5"/>
    <n v="6"/>
    <n v="45"/>
    <x v="2"/>
    <x v="0"/>
    <n v="130"/>
    <n v="85"/>
    <n v="6000"/>
    <x v="2"/>
    <s v="Average"/>
    <s v="Medium"/>
  </r>
  <r>
    <n v="179"/>
    <x v="0"/>
    <n v="42"/>
    <x v="8"/>
    <n v="7.8"/>
    <n v="8"/>
    <n v="90"/>
    <x v="5"/>
    <x v="1"/>
    <n v="130"/>
    <n v="85"/>
    <n v="8000"/>
    <x v="0"/>
    <s v="Average"/>
    <s v="High"/>
  </r>
  <r>
    <n v="180"/>
    <x v="0"/>
    <n v="42"/>
    <x v="8"/>
    <n v="7.8"/>
    <n v="8"/>
    <n v="90"/>
    <x v="5"/>
    <x v="1"/>
    <n v="130"/>
    <n v="85"/>
    <n v="8000"/>
    <x v="0"/>
    <s v="Average"/>
    <s v="High"/>
  </r>
  <r>
    <n v="181"/>
    <x v="0"/>
    <n v="42"/>
    <x v="8"/>
    <n v="7.8"/>
    <n v="8"/>
    <n v="90"/>
    <x v="5"/>
    <x v="1"/>
    <n v="130"/>
    <n v="85"/>
    <n v="8000"/>
    <x v="0"/>
    <s v="Average"/>
    <s v="High"/>
  </r>
  <r>
    <n v="182"/>
    <x v="0"/>
    <n v="42"/>
    <x v="8"/>
    <n v="7.8"/>
    <n v="8"/>
    <n v="90"/>
    <x v="5"/>
    <x v="1"/>
    <n v="130"/>
    <n v="85"/>
    <n v="8000"/>
    <x v="0"/>
    <s v="Average"/>
    <s v="High"/>
  </r>
  <r>
    <n v="183"/>
    <x v="0"/>
    <n v="42"/>
    <x v="8"/>
    <n v="7.8"/>
    <n v="8"/>
    <n v="90"/>
    <x v="5"/>
    <x v="1"/>
    <n v="130"/>
    <n v="85"/>
    <n v="8000"/>
    <x v="0"/>
    <s v="Average"/>
    <s v="High"/>
  </r>
  <r>
    <n v="184"/>
    <x v="0"/>
    <n v="42"/>
    <x v="8"/>
    <n v="7.8"/>
    <n v="8"/>
    <n v="90"/>
    <x v="5"/>
    <x v="1"/>
    <n v="130"/>
    <n v="85"/>
    <n v="8000"/>
    <x v="0"/>
    <s v="Average"/>
    <s v="High"/>
  </r>
  <r>
    <n v="185"/>
    <x v="1"/>
    <n v="42"/>
    <x v="3"/>
    <n v="6.8"/>
    <n v="6"/>
    <n v="45"/>
    <x v="2"/>
    <x v="0"/>
    <n v="130"/>
    <n v="85"/>
    <n v="5000"/>
    <x v="1"/>
    <s v="Average"/>
    <s v="Medium"/>
  </r>
  <r>
    <n v="186"/>
    <x v="1"/>
    <n v="42"/>
    <x v="3"/>
    <n v="6.8"/>
    <n v="6"/>
    <n v="45"/>
    <x v="2"/>
    <x v="0"/>
    <n v="130"/>
    <n v="85"/>
    <n v="5000"/>
    <x v="1"/>
    <s v="Average"/>
    <s v="Medium"/>
  </r>
  <r>
    <n v="187"/>
    <x v="1"/>
    <n v="43"/>
    <x v="3"/>
    <n v="6.7"/>
    <n v="7"/>
    <n v="45"/>
    <x v="3"/>
    <x v="0"/>
    <n v="135"/>
    <n v="90"/>
    <n v="6000"/>
    <x v="2"/>
    <s v="Average"/>
    <s v="Medium"/>
  </r>
  <r>
    <n v="188"/>
    <x v="0"/>
    <n v="43"/>
    <x v="9"/>
    <n v="6.3"/>
    <n v="6"/>
    <n v="45"/>
    <x v="2"/>
    <x v="0"/>
    <n v="130"/>
    <n v="85"/>
    <n v="6000"/>
    <x v="2"/>
    <s v="Average"/>
    <s v="Medium"/>
  </r>
  <r>
    <n v="189"/>
    <x v="1"/>
    <n v="43"/>
    <x v="3"/>
    <n v="6.7"/>
    <n v="7"/>
    <n v="45"/>
    <x v="3"/>
    <x v="0"/>
    <n v="135"/>
    <n v="90"/>
    <n v="6000"/>
    <x v="2"/>
    <s v="Average"/>
    <s v="Medium"/>
  </r>
  <r>
    <n v="190"/>
    <x v="0"/>
    <n v="43"/>
    <x v="9"/>
    <n v="6.5"/>
    <n v="6"/>
    <n v="45"/>
    <x v="2"/>
    <x v="0"/>
    <n v="130"/>
    <n v="85"/>
    <n v="6000"/>
    <x v="2"/>
    <s v="Average"/>
    <s v="Medium"/>
  </r>
  <r>
    <n v="191"/>
    <x v="1"/>
    <n v="43"/>
    <x v="3"/>
    <n v="6.7"/>
    <n v="7"/>
    <n v="45"/>
    <x v="3"/>
    <x v="0"/>
    <n v="135"/>
    <n v="90"/>
    <n v="6000"/>
    <x v="2"/>
    <s v="Average"/>
    <s v="Medium"/>
  </r>
  <r>
    <n v="192"/>
    <x v="0"/>
    <n v="43"/>
    <x v="9"/>
    <n v="6.4"/>
    <n v="6"/>
    <n v="45"/>
    <x v="2"/>
    <x v="0"/>
    <n v="130"/>
    <n v="85"/>
    <n v="6000"/>
    <x v="2"/>
    <s v="Average"/>
    <s v="Medium"/>
  </r>
  <r>
    <n v="193"/>
    <x v="0"/>
    <n v="43"/>
    <x v="9"/>
    <n v="6.5"/>
    <n v="6"/>
    <n v="45"/>
    <x v="2"/>
    <x v="0"/>
    <n v="130"/>
    <n v="85"/>
    <n v="6000"/>
    <x v="2"/>
    <s v="Average"/>
    <s v="Medium"/>
  </r>
  <r>
    <n v="194"/>
    <x v="0"/>
    <n v="43"/>
    <x v="9"/>
    <n v="6.5"/>
    <n v="6"/>
    <n v="45"/>
    <x v="2"/>
    <x v="0"/>
    <n v="130"/>
    <n v="85"/>
    <n v="6000"/>
    <x v="2"/>
    <s v="Average"/>
    <s v="Medium"/>
  </r>
  <r>
    <n v="195"/>
    <x v="0"/>
    <n v="43"/>
    <x v="9"/>
    <n v="6.5"/>
    <n v="6"/>
    <n v="45"/>
    <x v="2"/>
    <x v="0"/>
    <n v="130"/>
    <n v="85"/>
    <n v="6000"/>
    <x v="2"/>
    <s v="Average"/>
    <s v="Medium"/>
  </r>
  <r>
    <n v="196"/>
    <x v="0"/>
    <n v="43"/>
    <x v="9"/>
    <n v="6.5"/>
    <n v="6"/>
    <n v="45"/>
    <x v="2"/>
    <x v="0"/>
    <n v="130"/>
    <n v="85"/>
    <n v="6000"/>
    <x v="2"/>
    <s v="Average"/>
    <s v="Medium"/>
  </r>
  <r>
    <n v="197"/>
    <x v="0"/>
    <n v="43"/>
    <x v="9"/>
    <n v="6.5"/>
    <n v="6"/>
    <n v="45"/>
    <x v="2"/>
    <x v="0"/>
    <n v="130"/>
    <n v="85"/>
    <n v="6000"/>
    <x v="2"/>
    <s v="Average"/>
    <s v="Medium"/>
  </r>
  <r>
    <n v="198"/>
    <x v="0"/>
    <n v="43"/>
    <x v="9"/>
    <n v="6.5"/>
    <n v="6"/>
    <n v="45"/>
    <x v="2"/>
    <x v="0"/>
    <n v="130"/>
    <n v="85"/>
    <n v="6000"/>
    <x v="2"/>
    <s v="Average"/>
    <s v="Medium"/>
  </r>
  <r>
    <n v="199"/>
    <x v="0"/>
    <n v="43"/>
    <x v="9"/>
    <n v="6.5"/>
    <n v="6"/>
    <n v="45"/>
    <x v="2"/>
    <x v="0"/>
    <n v="130"/>
    <n v="85"/>
    <n v="6000"/>
    <x v="2"/>
    <s v="Average"/>
    <s v="Medium"/>
  </r>
  <r>
    <n v="200"/>
    <x v="0"/>
    <n v="43"/>
    <x v="9"/>
    <n v="6.5"/>
    <n v="6"/>
    <n v="45"/>
    <x v="2"/>
    <x v="0"/>
    <n v="130"/>
    <n v="85"/>
    <n v="6000"/>
    <x v="2"/>
    <s v="Average"/>
    <s v="Medium"/>
  </r>
  <r>
    <n v="201"/>
    <x v="0"/>
    <n v="43"/>
    <x v="9"/>
    <n v="6.5"/>
    <n v="6"/>
    <n v="45"/>
    <x v="2"/>
    <x v="0"/>
    <n v="130"/>
    <n v="85"/>
    <n v="6000"/>
    <x v="2"/>
    <s v="Average"/>
    <s v="Medium"/>
  </r>
  <r>
    <n v="202"/>
    <x v="0"/>
    <n v="43"/>
    <x v="5"/>
    <n v="7.8"/>
    <n v="8"/>
    <n v="90"/>
    <x v="5"/>
    <x v="1"/>
    <n v="130"/>
    <n v="85"/>
    <n v="8000"/>
    <x v="2"/>
    <s v="Average"/>
    <s v="High"/>
  </r>
  <r>
    <n v="203"/>
    <x v="0"/>
    <n v="43"/>
    <x v="5"/>
    <n v="7.8"/>
    <n v="8"/>
    <n v="90"/>
    <x v="5"/>
    <x v="1"/>
    <n v="130"/>
    <n v="85"/>
    <n v="8000"/>
    <x v="2"/>
    <s v="Average"/>
    <s v="High"/>
  </r>
  <r>
    <n v="204"/>
    <x v="0"/>
    <n v="43"/>
    <x v="5"/>
    <n v="6.9"/>
    <n v="6"/>
    <n v="47"/>
    <x v="2"/>
    <x v="3"/>
    <n v="117"/>
    <n v="76"/>
    <n v="6800"/>
    <x v="0"/>
    <s v="Average"/>
    <s v="Medium"/>
  </r>
  <r>
    <n v="205"/>
    <x v="0"/>
    <n v="43"/>
    <x v="5"/>
    <n v="7.6"/>
    <n v="8"/>
    <n v="75"/>
    <x v="3"/>
    <x v="0"/>
    <n v="122"/>
    <n v="80"/>
    <n v="6800"/>
    <x v="0"/>
    <s v="Average"/>
    <s v="High"/>
  </r>
  <r>
    <n v="206"/>
    <x v="0"/>
    <n v="43"/>
    <x v="5"/>
    <n v="7.7"/>
    <n v="8"/>
    <n v="90"/>
    <x v="5"/>
    <x v="1"/>
    <n v="130"/>
    <n v="85"/>
    <n v="8000"/>
    <x v="0"/>
    <s v="Average"/>
    <s v="High"/>
  </r>
  <r>
    <n v="207"/>
    <x v="0"/>
    <n v="43"/>
    <x v="5"/>
    <n v="7.7"/>
    <n v="8"/>
    <n v="90"/>
    <x v="5"/>
    <x v="1"/>
    <n v="130"/>
    <n v="85"/>
    <n v="8000"/>
    <x v="0"/>
    <s v="Average"/>
    <s v="High"/>
  </r>
  <r>
    <n v="208"/>
    <x v="0"/>
    <n v="43"/>
    <x v="5"/>
    <n v="7.7"/>
    <n v="8"/>
    <n v="90"/>
    <x v="5"/>
    <x v="1"/>
    <n v="130"/>
    <n v="85"/>
    <n v="8000"/>
    <x v="0"/>
    <s v="Average"/>
    <s v="High"/>
  </r>
  <r>
    <n v="209"/>
    <x v="0"/>
    <n v="43"/>
    <x v="5"/>
    <n v="7.7"/>
    <n v="8"/>
    <n v="90"/>
    <x v="5"/>
    <x v="1"/>
    <n v="130"/>
    <n v="85"/>
    <n v="8000"/>
    <x v="0"/>
    <s v="Average"/>
    <s v="High"/>
  </r>
  <r>
    <n v="210"/>
    <x v="0"/>
    <n v="43"/>
    <x v="5"/>
    <n v="7.8"/>
    <n v="8"/>
    <n v="90"/>
    <x v="5"/>
    <x v="1"/>
    <n v="130"/>
    <n v="85"/>
    <n v="8000"/>
    <x v="0"/>
    <s v="Average"/>
    <s v="High"/>
  </r>
  <r>
    <n v="211"/>
    <x v="0"/>
    <n v="43"/>
    <x v="5"/>
    <n v="7.7"/>
    <n v="8"/>
    <n v="90"/>
    <x v="5"/>
    <x v="1"/>
    <n v="130"/>
    <n v="85"/>
    <n v="8000"/>
    <x v="0"/>
    <s v="Average"/>
    <s v="High"/>
  </r>
  <r>
    <n v="212"/>
    <x v="0"/>
    <n v="43"/>
    <x v="5"/>
    <n v="7.8"/>
    <n v="8"/>
    <n v="90"/>
    <x v="5"/>
    <x v="1"/>
    <n v="130"/>
    <n v="85"/>
    <n v="8000"/>
    <x v="0"/>
    <s v="Average"/>
    <s v="High"/>
  </r>
  <r>
    <n v="213"/>
    <x v="0"/>
    <n v="43"/>
    <x v="5"/>
    <n v="7.8"/>
    <n v="8"/>
    <n v="90"/>
    <x v="5"/>
    <x v="1"/>
    <n v="130"/>
    <n v="85"/>
    <n v="8000"/>
    <x v="0"/>
    <s v="Average"/>
    <s v="High"/>
  </r>
  <r>
    <n v="214"/>
    <x v="0"/>
    <n v="43"/>
    <x v="5"/>
    <n v="7.8"/>
    <n v="8"/>
    <n v="90"/>
    <x v="5"/>
    <x v="1"/>
    <n v="130"/>
    <n v="85"/>
    <n v="8000"/>
    <x v="0"/>
    <s v="Average"/>
    <s v="High"/>
  </r>
  <r>
    <n v="215"/>
    <x v="0"/>
    <n v="43"/>
    <x v="5"/>
    <n v="7.8"/>
    <n v="8"/>
    <n v="90"/>
    <x v="5"/>
    <x v="1"/>
    <n v="130"/>
    <n v="85"/>
    <n v="8000"/>
    <x v="0"/>
    <s v="Average"/>
    <s v="High"/>
  </r>
  <r>
    <n v="216"/>
    <x v="0"/>
    <n v="43"/>
    <x v="5"/>
    <n v="7.8"/>
    <n v="8"/>
    <n v="90"/>
    <x v="5"/>
    <x v="1"/>
    <n v="130"/>
    <n v="85"/>
    <n v="8000"/>
    <x v="0"/>
    <s v="Average"/>
    <s v="High"/>
  </r>
  <r>
    <n v="217"/>
    <x v="0"/>
    <n v="43"/>
    <x v="5"/>
    <n v="7.8"/>
    <n v="8"/>
    <n v="90"/>
    <x v="5"/>
    <x v="1"/>
    <n v="130"/>
    <n v="85"/>
    <n v="8000"/>
    <x v="0"/>
    <s v="Average"/>
    <s v="High"/>
  </r>
  <r>
    <n v="218"/>
    <x v="0"/>
    <n v="43"/>
    <x v="5"/>
    <n v="7.8"/>
    <n v="8"/>
    <n v="90"/>
    <x v="5"/>
    <x v="1"/>
    <n v="130"/>
    <n v="85"/>
    <n v="8000"/>
    <x v="0"/>
    <s v="Average"/>
    <s v="High"/>
  </r>
  <r>
    <n v="219"/>
    <x v="0"/>
    <n v="43"/>
    <x v="5"/>
    <n v="7.8"/>
    <n v="8"/>
    <n v="90"/>
    <x v="5"/>
    <x v="1"/>
    <n v="130"/>
    <n v="85"/>
    <n v="8000"/>
    <x v="1"/>
    <s v="Average"/>
    <s v="High"/>
  </r>
  <r>
    <n v="220"/>
    <x v="0"/>
    <n v="43"/>
    <x v="9"/>
    <n v="6.5"/>
    <n v="6"/>
    <n v="45"/>
    <x v="2"/>
    <x v="0"/>
    <n v="130"/>
    <n v="85"/>
    <n v="6000"/>
    <x v="1"/>
    <s v="Average"/>
    <s v="Medium"/>
  </r>
  <r>
    <n v="221"/>
    <x v="1"/>
    <n v="44"/>
    <x v="3"/>
    <n v="6.6"/>
    <n v="7"/>
    <n v="45"/>
    <x v="3"/>
    <x v="0"/>
    <n v="135"/>
    <n v="90"/>
    <n v="6000"/>
    <x v="2"/>
    <s v="Average"/>
    <s v="Medium"/>
  </r>
  <r>
    <n v="222"/>
    <x v="0"/>
    <n v="44"/>
    <x v="9"/>
    <n v="6.4"/>
    <n v="6"/>
    <n v="45"/>
    <x v="2"/>
    <x v="0"/>
    <n v="130"/>
    <n v="85"/>
    <n v="6000"/>
    <x v="2"/>
    <s v="Average"/>
    <s v="Medium"/>
  </r>
  <r>
    <n v="223"/>
    <x v="0"/>
    <n v="44"/>
    <x v="9"/>
    <n v="6.3"/>
    <n v="6"/>
    <n v="45"/>
    <x v="2"/>
    <x v="0"/>
    <n v="130"/>
    <n v="85"/>
    <n v="6000"/>
    <x v="2"/>
    <s v="Average"/>
    <s v="Medium"/>
  </r>
  <r>
    <n v="224"/>
    <x v="0"/>
    <n v="44"/>
    <x v="9"/>
    <n v="6.4"/>
    <n v="6"/>
    <n v="45"/>
    <x v="2"/>
    <x v="0"/>
    <n v="130"/>
    <n v="85"/>
    <n v="6000"/>
    <x v="2"/>
    <s v="Average"/>
    <s v="Medium"/>
  </r>
  <r>
    <n v="225"/>
    <x v="1"/>
    <n v="44"/>
    <x v="3"/>
    <n v="6.6"/>
    <n v="7"/>
    <n v="45"/>
    <x v="3"/>
    <x v="0"/>
    <n v="135"/>
    <n v="90"/>
    <n v="6000"/>
    <x v="2"/>
    <s v="Average"/>
    <s v="Medium"/>
  </r>
  <r>
    <n v="226"/>
    <x v="0"/>
    <n v="44"/>
    <x v="9"/>
    <n v="6.3"/>
    <n v="6"/>
    <n v="45"/>
    <x v="2"/>
    <x v="0"/>
    <n v="130"/>
    <n v="85"/>
    <n v="6000"/>
    <x v="2"/>
    <s v="Average"/>
    <s v="Medium"/>
  </r>
  <r>
    <n v="227"/>
    <x v="1"/>
    <n v="44"/>
    <x v="3"/>
    <n v="6.6"/>
    <n v="7"/>
    <n v="45"/>
    <x v="3"/>
    <x v="0"/>
    <n v="135"/>
    <n v="90"/>
    <n v="6000"/>
    <x v="2"/>
    <s v="Average"/>
    <s v="Medium"/>
  </r>
  <r>
    <n v="228"/>
    <x v="0"/>
    <n v="44"/>
    <x v="9"/>
    <n v="6.3"/>
    <n v="6"/>
    <n v="45"/>
    <x v="2"/>
    <x v="0"/>
    <n v="130"/>
    <n v="85"/>
    <n v="6000"/>
    <x v="2"/>
    <s v="Average"/>
    <s v="Medium"/>
  </r>
  <r>
    <n v="229"/>
    <x v="1"/>
    <n v="44"/>
    <x v="3"/>
    <n v="6.6"/>
    <n v="7"/>
    <n v="45"/>
    <x v="3"/>
    <x v="0"/>
    <n v="135"/>
    <n v="90"/>
    <n v="6000"/>
    <x v="2"/>
    <s v="Average"/>
    <s v="Medium"/>
  </r>
  <r>
    <n v="230"/>
    <x v="0"/>
    <n v="44"/>
    <x v="9"/>
    <n v="6.3"/>
    <n v="6"/>
    <n v="45"/>
    <x v="2"/>
    <x v="0"/>
    <n v="130"/>
    <n v="85"/>
    <n v="6000"/>
    <x v="2"/>
    <s v="Average"/>
    <s v="Medium"/>
  </r>
  <r>
    <n v="231"/>
    <x v="1"/>
    <n v="44"/>
    <x v="3"/>
    <n v="6.6"/>
    <n v="7"/>
    <n v="45"/>
    <x v="3"/>
    <x v="0"/>
    <n v="135"/>
    <n v="90"/>
    <n v="6000"/>
    <x v="2"/>
    <s v="Average"/>
    <s v="Medium"/>
  </r>
  <r>
    <n v="232"/>
    <x v="0"/>
    <n v="44"/>
    <x v="9"/>
    <n v="6.3"/>
    <n v="6"/>
    <n v="45"/>
    <x v="2"/>
    <x v="0"/>
    <n v="130"/>
    <n v="85"/>
    <n v="6000"/>
    <x v="2"/>
    <s v="Average"/>
    <s v="Medium"/>
  </r>
  <r>
    <n v="233"/>
    <x v="1"/>
    <n v="44"/>
    <x v="3"/>
    <n v="6.6"/>
    <n v="7"/>
    <n v="45"/>
    <x v="3"/>
    <x v="0"/>
    <n v="135"/>
    <n v="90"/>
    <n v="6000"/>
    <x v="2"/>
    <s v="Average"/>
    <s v="Medium"/>
  </r>
  <r>
    <n v="234"/>
    <x v="0"/>
    <n v="44"/>
    <x v="9"/>
    <n v="6.3"/>
    <n v="6"/>
    <n v="45"/>
    <x v="2"/>
    <x v="0"/>
    <n v="130"/>
    <n v="85"/>
    <n v="6000"/>
    <x v="2"/>
    <s v="Average"/>
    <s v="Medium"/>
  </r>
  <r>
    <n v="235"/>
    <x v="1"/>
    <n v="44"/>
    <x v="3"/>
    <n v="6.6"/>
    <n v="7"/>
    <n v="45"/>
    <x v="3"/>
    <x v="0"/>
    <n v="135"/>
    <n v="90"/>
    <n v="6000"/>
    <x v="2"/>
    <s v="Average"/>
    <s v="Medium"/>
  </r>
  <r>
    <n v="236"/>
    <x v="0"/>
    <n v="44"/>
    <x v="9"/>
    <n v="6.3"/>
    <n v="6"/>
    <n v="45"/>
    <x v="2"/>
    <x v="0"/>
    <n v="130"/>
    <n v="85"/>
    <n v="6000"/>
    <x v="2"/>
    <s v="Average"/>
    <s v="Medium"/>
  </r>
  <r>
    <n v="237"/>
    <x v="0"/>
    <n v="44"/>
    <x v="9"/>
    <n v="6.4"/>
    <n v="6"/>
    <n v="45"/>
    <x v="2"/>
    <x v="0"/>
    <n v="130"/>
    <n v="85"/>
    <n v="6000"/>
    <x v="2"/>
    <s v="Average"/>
    <s v="Medium"/>
  </r>
  <r>
    <n v="238"/>
    <x v="1"/>
    <n v="44"/>
    <x v="3"/>
    <n v="6.5"/>
    <n v="7"/>
    <n v="45"/>
    <x v="3"/>
    <x v="0"/>
    <n v="135"/>
    <n v="90"/>
    <n v="6000"/>
    <x v="2"/>
    <s v="Average"/>
    <s v="Medium"/>
  </r>
  <r>
    <n v="239"/>
    <x v="0"/>
    <n v="44"/>
    <x v="9"/>
    <n v="6.3"/>
    <n v="6"/>
    <n v="45"/>
    <x v="2"/>
    <x v="0"/>
    <n v="130"/>
    <n v="85"/>
    <n v="6000"/>
    <x v="2"/>
    <s v="Average"/>
    <s v="Medium"/>
  </r>
  <r>
    <n v="240"/>
    <x v="0"/>
    <n v="44"/>
    <x v="9"/>
    <n v="6.4"/>
    <n v="6"/>
    <n v="45"/>
    <x v="2"/>
    <x v="0"/>
    <n v="130"/>
    <n v="85"/>
    <n v="6000"/>
    <x v="2"/>
    <s v="Average"/>
    <s v="Medium"/>
  </r>
  <r>
    <n v="241"/>
    <x v="1"/>
    <n v="44"/>
    <x v="3"/>
    <n v="6.5"/>
    <n v="7"/>
    <n v="45"/>
    <x v="3"/>
    <x v="0"/>
    <n v="135"/>
    <n v="90"/>
    <n v="6000"/>
    <x v="2"/>
    <s v="Average"/>
    <s v="Medium"/>
  </r>
  <r>
    <n v="242"/>
    <x v="0"/>
    <n v="44"/>
    <x v="9"/>
    <n v="6.3"/>
    <n v="6"/>
    <n v="45"/>
    <x v="2"/>
    <x v="0"/>
    <n v="130"/>
    <n v="85"/>
    <n v="6000"/>
    <x v="2"/>
    <s v="Average"/>
    <s v="Medium"/>
  </r>
  <r>
    <n v="243"/>
    <x v="0"/>
    <n v="44"/>
    <x v="9"/>
    <n v="6.4"/>
    <n v="6"/>
    <n v="45"/>
    <x v="2"/>
    <x v="0"/>
    <n v="130"/>
    <n v="85"/>
    <n v="6000"/>
    <x v="2"/>
    <s v="Average"/>
    <s v="Medium"/>
  </r>
  <r>
    <n v="244"/>
    <x v="1"/>
    <n v="44"/>
    <x v="3"/>
    <n v="6.5"/>
    <n v="7"/>
    <n v="45"/>
    <x v="3"/>
    <x v="0"/>
    <n v="135"/>
    <n v="90"/>
    <n v="6000"/>
    <x v="2"/>
    <s v="Average"/>
    <s v="Medium"/>
  </r>
  <r>
    <n v="245"/>
    <x v="0"/>
    <n v="44"/>
    <x v="9"/>
    <n v="6.3"/>
    <n v="6"/>
    <n v="45"/>
    <x v="2"/>
    <x v="0"/>
    <n v="130"/>
    <n v="85"/>
    <n v="6000"/>
    <x v="2"/>
    <s v="Average"/>
    <s v="Medium"/>
  </r>
  <r>
    <n v="246"/>
    <x v="1"/>
    <n v="44"/>
    <x v="3"/>
    <n v="6.5"/>
    <n v="7"/>
    <n v="45"/>
    <x v="3"/>
    <x v="0"/>
    <n v="135"/>
    <n v="90"/>
    <n v="6000"/>
    <x v="2"/>
    <s v="Average"/>
    <s v="Medium"/>
  </r>
  <r>
    <n v="247"/>
    <x v="0"/>
    <n v="44"/>
    <x v="9"/>
    <n v="6.3"/>
    <n v="6"/>
    <n v="45"/>
    <x v="2"/>
    <x v="0"/>
    <n v="130"/>
    <n v="85"/>
    <n v="6000"/>
    <x v="2"/>
    <s v="Average"/>
    <s v="Medium"/>
  </r>
  <r>
    <n v="248"/>
    <x v="0"/>
    <n v="44"/>
    <x v="5"/>
    <n v="6.8"/>
    <n v="7"/>
    <n v="45"/>
    <x v="2"/>
    <x v="0"/>
    <n v="130"/>
    <n v="85"/>
    <n v="5000"/>
    <x v="2"/>
    <s v="Average"/>
    <s v="Medium"/>
  </r>
  <r>
    <n v="249"/>
    <x v="0"/>
    <n v="44"/>
    <x v="9"/>
    <n v="6.4"/>
    <n v="6"/>
    <n v="45"/>
    <x v="2"/>
    <x v="0"/>
    <n v="130"/>
    <n v="85"/>
    <n v="6000"/>
    <x v="0"/>
    <s v="Average"/>
    <s v="Medium"/>
  </r>
  <r>
    <n v="250"/>
    <x v="0"/>
    <n v="44"/>
    <x v="9"/>
    <n v="6.5"/>
    <n v="6"/>
    <n v="45"/>
    <x v="2"/>
    <x v="0"/>
    <n v="130"/>
    <n v="85"/>
    <n v="6000"/>
    <x v="0"/>
    <s v="Average"/>
    <s v="Medium"/>
  </r>
  <r>
    <n v="251"/>
    <x v="1"/>
    <n v="45"/>
    <x v="3"/>
    <n v="6.8"/>
    <n v="7"/>
    <n v="30"/>
    <x v="0"/>
    <x v="0"/>
    <n v="135"/>
    <n v="90"/>
    <n v="6000"/>
    <x v="2"/>
    <s v="Average"/>
    <s v="Low"/>
  </r>
  <r>
    <n v="252"/>
    <x v="1"/>
    <n v="45"/>
    <x v="3"/>
    <n v="6.8"/>
    <n v="7"/>
    <n v="30"/>
    <x v="0"/>
    <x v="0"/>
    <n v="135"/>
    <n v="90"/>
    <n v="6000"/>
    <x v="2"/>
    <s v="Average"/>
    <s v="Low"/>
  </r>
  <r>
    <n v="253"/>
    <x v="1"/>
    <n v="45"/>
    <x v="3"/>
    <n v="6.5"/>
    <n v="7"/>
    <n v="45"/>
    <x v="3"/>
    <x v="0"/>
    <n v="135"/>
    <n v="90"/>
    <n v="6000"/>
    <x v="2"/>
    <s v="Average"/>
    <s v="Medium"/>
  </r>
  <r>
    <n v="254"/>
    <x v="1"/>
    <n v="45"/>
    <x v="3"/>
    <n v="6.5"/>
    <n v="7"/>
    <n v="45"/>
    <x v="3"/>
    <x v="0"/>
    <n v="135"/>
    <n v="90"/>
    <n v="6000"/>
    <x v="2"/>
    <s v="Average"/>
    <s v="Medium"/>
  </r>
  <r>
    <n v="255"/>
    <x v="1"/>
    <n v="45"/>
    <x v="3"/>
    <n v="6.5"/>
    <n v="7"/>
    <n v="45"/>
    <x v="3"/>
    <x v="0"/>
    <n v="135"/>
    <n v="90"/>
    <n v="6000"/>
    <x v="2"/>
    <s v="Average"/>
    <s v="Medium"/>
  </r>
  <r>
    <n v="256"/>
    <x v="1"/>
    <n v="45"/>
    <x v="3"/>
    <n v="6.5"/>
    <n v="7"/>
    <n v="45"/>
    <x v="3"/>
    <x v="0"/>
    <n v="135"/>
    <n v="90"/>
    <n v="6000"/>
    <x v="2"/>
    <s v="Average"/>
    <s v="Medium"/>
  </r>
  <r>
    <n v="257"/>
    <x v="1"/>
    <n v="45"/>
    <x v="3"/>
    <n v="6.6"/>
    <n v="7"/>
    <n v="45"/>
    <x v="3"/>
    <x v="0"/>
    <n v="135"/>
    <n v="90"/>
    <n v="6000"/>
    <x v="2"/>
    <s v="Average"/>
    <s v="Medium"/>
  </r>
  <r>
    <n v="258"/>
    <x v="1"/>
    <n v="45"/>
    <x v="3"/>
    <n v="6.6"/>
    <n v="7"/>
    <n v="45"/>
    <x v="3"/>
    <x v="0"/>
    <n v="135"/>
    <n v="90"/>
    <n v="6000"/>
    <x v="2"/>
    <s v="Average"/>
    <s v="Medium"/>
  </r>
  <r>
    <n v="259"/>
    <x v="1"/>
    <n v="45"/>
    <x v="3"/>
    <n v="6.6"/>
    <n v="7"/>
    <n v="45"/>
    <x v="3"/>
    <x v="0"/>
    <n v="135"/>
    <n v="90"/>
    <n v="6000"/>
    <x v="2"/>
    <s v="Average"/>
    <s v="Medium"/>
  </r>
  <r>
    <n v="260"/>
    <x v="1"/>
    <n v="45"/>
    <x v="3"/>
    <n v="6.6"/>
    <n v="7"/>
    <n v="45"/>
    <x v="3"/>
    <x v="0"/>
    <n v="135"/>
    <n v="90"/>
    <n v="6000"/>
    <x v="2"/>
    <s v="Average"/>
    <s v="Medium"/>
  </r>
  <r>
    <n v="261"/>
    <x v="1"/>
    <n v="45"/>
    <x v="3"/>
    <n v="6.6"/>
    <n v="7"/>
    <n v="45"/>
    <x v="3"/>
    <x v="0"/>
    <n v="135"/>
    <n v="90"/>
    <n v="6000"/>
    <x v="2"/>
    <s v="Average"/>
    <s v="Medium"/>
  </r>
  <r>
    <n v="262"/>
    <x v="1"/>
    <n v="45"/>
    <x v="3"/>
    <n v="6.6"/>
    <n v="7"/>
    <n v="45"/>
    <x v="3"/>
    <x v="0"/>
    <n v="135"/>
    <n v="90"/>
    <n v="6000"/>
    <x v="0"/>
    <s v="Average"/>
    <s v="Medium"/>
  </r>
  <r>
    <n v="263"/>
    <x v="1"/>
    <n v="45"/>
    <x v="3"/>
    <n v="6.6"/>
    <n v="7"/>
    <n v="45"/>
    <x v="3"/>
    <x v="0"/>
    <n v="135"/>
    <n v="90"/>
    <n v="6000"/>
    <x v="0"/>
    <s v="Average"/>
    <s v="Medium"/>
  </r>
  <r>
    <n v="264"/>
    <x v="1"/>
    <n v="45"/>
    <x v="10"/>
    <n v="6.9"/>
    <n v="7"/>
    <n v="55"/>
    <x v="5"/>
    <x v="0"/>
    <n v="125"/>
    <n v="82"/>
    <n v="5500"/>
    <x v="0"/>
    <s v="Average"/>
    <s v="Medium"/>
  </r>
  <r>
    <n v="265"/>
    <x v="0"/>
    <n v="48"/>
    <x v="1"/>
    <n v="7.3"/>
    <n v="7"/>
    <n v="65"/>
    <x v="5"/>
    <x v="2"/>
    <n v="142"/>
    <n v="92"/>
    <n v="3500"/>
    <x v="2"/>
    <s v="Average"/>
    <s v="High"/>
  </r>
  <r>
    <n v="266"/>
    <x v="1"/>
    <n v="48"/>
    <x v="4"/>
    <n v="5.9"/>
    <n v="6"/>
    <n v="90"/>
    <x v="1"/>
    <x v="0"/>
    <n v="140"/>
    <n v="95"/>
    <n v="10000"/>
    <x v="1"/>
    <s v="Average"/>
    <s v="High"/>
  </r>
  <r>
    <n v="267"/>
    <x v="0"/>
    <n v="48"/>
    <x v="1"/>
    <n v="7.3"/>
    <n v="7"/>
    <n v="65"/>
    <x v="5"/>
    <x v="2"/>
    <n v="142"/>
    <n v="92"/>
    <n v="3500"/>
    <x v="2"/>
    <s v="Average"/>
    <s v="High"/>
  </r>
  <r>
    <n v="268"/>
    <x v="1"/>
    <n v="49"/>
    <x v="4"/>
    <n v="6.2"/>
    <n v="6"/>
    <n v="90"/>
    <x v="1"/>
    <x v="0"/>
    <n v="140"/>
    <n v="95"/>
    <n v="10000"/>
    <x v="0"/>
    <s v="Average"/>
    <s v="High"/>
  </r>
  <r>
    <n v="269"/>
    <x v="1"/>
    <n v="49"/>
    <x v="4"/>
    <n v="6"/>
    <n v="6"/>
    <n v="90"/>
    <x v="1"/>
    <x v="0"/>
    <n v="140"/>
    <n v="95"/>
    <n v="10000"/>
    <x v="1"/>
    <s v="Average"/>
    <s v="High"/>
  </r>
  <r>
    <n v="270"/>
    <x v="1"/>
    <n v="49"/>
    <x v="4"/>
    <n v="6.1"/>
    <n v="6"/>
    <n v="90"/>
    <x v="1"/>
    <x v="0"/>
    <n v="140"/>
    <n v="95"/>
    <n v="10000"/>
    <x v="1"/>
    <s v="Average"/>
    <s v="High"/>
  </r>
  <r>
    <n v="271"/>
    <x v="1"/>
    <n v="49"/>
    <x v="4"/>
    <n v="6.1"/>
    <n v="6"/>
    <n v="90"/>
    <x v="1"/>
    <x v="0"/>
    <n v="140"/>
    <n v="95"/>
    <n v="10000"/>
    <x v="1"/>
    <s v="Average"/>
    <s v="High"/>
  </r>
  <r>
    <n v="272"/>
    <x v="1"/>
    <n v="49"/>
    <x v="4"/>
    <n v="6.1"/>
    <n v="6"/>
    <n v="90"/>
    <x v="1"/>
    <x v="0"/>
    <n v="140"/>
    <n v="95"/>
    <n v="10000"/>
    <x v="1"/>
    <s v="Average"/>
    <s v="High"/>
  </r>
  <r>
    <n v="273"/>
    <x v="1"/>
    <n v="49"/>
    <x v="4"/>
    <n v="6.1"/>
    <n v="6"/>
    <n v="90"/>
    <x v="1"/>
    <x v="0"/>
    <n v="140"/>
    <n v="95"/>
    <n v="10000"/>
    <x v="1"/>
    <s v="Average"/>
    <s v="High"/>
  </r>
  <r>
    <n v="274"/>
    <x v="1"/>
    <n v="49"/>
    <x v="4"/>
    <n v="6.2"/>
    <n v="6"/>
    <n v="90"/>
    <x v="1"/>
    <x v="0"/>
    <n v="140"/>
    <n v="95"/>
    <n v="10000"/>
    <x v="1"/>
    <s v="Average"/>
    <s v="High"/>
  </r>
  <r>
    <n v="275"/>
    <x v="1"/>
    <n v="49"/>
    <x v="4"/>
    <n v="6.2"/>
    <n v="6"/>
    <n v="90"/>
    <x v="1"/>
    <x v="0"/>
    <n v="140"/>
    <n v="95"/>
    <n v="10000"/>
    <x v="1"/>
    <s v="Average"/>
    <s v="High"/>
  </r>
  <r>
    <n v="276"/>
    <x v="1"/>
    <n v="49"/>
    <x v="4"/>
    <n v="6.2"/>
    <n v="6"/>
    <n v="90"/>
    <x v="1"/>
    <x v="0"/>
    <n v="140"/>
    <n v="95"/>
    <n v="10000"/>
    <x v="1"/>
    <s v="Average"/>
    <s v="High"/>
  </r>
  <r>
    <n v="277"/>
    <x v="0"/>
    <n v="49"/>
    <x v="1"/>
    <n v="8.1"/>
    <n v="9"/>
    <n v="85"/>
    <x v="4"/>
    <x v="2"/>
    <n v="139"/>
    <n v="91"/>
    <n v="3700"/>
    <x v="1"/>
    <s v="Good"/>
    <s v="High"/>
  </r>
  <r>
    <n v="278"/>
    <x v="0"/>
    <n v="49"/>
    <x v="1"/>
    <n v="8.1"/>
    <n v="9"/>
    <n v="85"/>
    <x v="4"/>
    <x v="2"/>
    <n v="139"/>
    <n v="91"/>
    <n v="3700"/>
    <x v="1"/>
    <s v="Good"/>
    <s v="High"/>
  </r>
  <r>
    <n v="279"/>
    <x v="1"/>
    <n v="50"/>
    <x v="4"/>
    <n v="6.1"/>
    <n v="6"/>
    <n v="90"/>
    <x v="1"/>
    <x v="0"/>
    <n v="140"/>
    <n v="95"/>
    <n v="10000"/>
    <x v="2"/>
    <s v="Average"/>
    <s v="High"/>
  </r>
  <r>
    <n v="280"/>
    <x v="1"/>
    <n v="50"/>
    <x v="5"/>
    <n v="8.3000000000000007"/>
    <n v="9"/>
    <n v="30"/>
    <x v="4"/>
    <x v="1"/>
    <n v="125"/>
    <n v="80"/>
    <n v="5000"/>
    <x v="0"/>
    <s v="Good"/>
    <s v="Low"/>
  </r>
  <r>
    <n v="281"/>
    <x v="1"/>
    <n v="50"/>
    <x v="4"/>
    <n v="6"/>
    <n v="6"/>
    <n v="90"/>
    <x v="1"/>
    <x v="0"/>
    <n v="140"/>
    <n v="95"/>
    <n v="10000"/>
    <x v="0"/>
    <s v="Average"/>
    <s v="High"/>
  </r>
  <r>
    <n v="282"/>
    <x v="1"/>
    <n v="50"/>
    <x v="4"/>
    <n v="6.1"/>
    <n v="6"/>
    <n v="90"/>
    <x v="1"/>
    <x v="0"/>
    <n v="140"/>
    <n v="95"/>
    <n v="10000"/>
    <x v="1"/>
    <s v="Average"/>
    <s v="High"/>
  </r>
  <r>
    <n v="283"/>
    <x v="1"/>
    <n v="50"/>
    <x v="4"/>
    <n v="6"/>
    <n v="6"/>
    <n v="90"/>
    <x v="1"/>
    <x v="0"/>
    <n v="140"/>
    <n v="95"/>
    <n v="10000"/>
    <x v="1"/>
    <s v="Average"/>
    <s v="High"/>
  </r>
  <r>
    <n v="284"/>
    <x v="1"/>
    <n v="50"/>
    <x v="4"/>
    <n v="6"/>
    <n v="6"/>
    <n v="90"/>
    <x v="1"/>
    <x v="0"/>
    <n v="140"/>
    <n v="95"/>
    <n v="10000"/>
    <x v="1"/>
    <s v="Average"/>
    <s v="High"/>
  </r>
  <r>
    <n v="285"/>
    <x v="1"/>
    <n v="50"/>
    <x v="4"/>
    <n v="6"/>
    <n v="6"/>
    <n v="90"/>
    <x v="1"/>
    <x v="0"/>
    <n v="140"/>
    <n v="95"/>
    <n v="10000"/>
    <x v="1"/>
    <s v="Average"/>
    <s v="High"/>
  </r>
  <r>
    <n v="286"/>
    <x v="1"/>
    <n v="50"/>
    <x v="4"/>
    <n v="6"/>
    <n v="6"/>
    <n v="90"/>
    <x v="1"/>
    <x v="0"/>
    <n v="140"/>
    <n v="95"/>
    <n v="10000"/>
    <x v="1"/>
    <s v="Average"/>
    <s v="High"/>
  </r>
  <r>
    <n v="287"/>
    <x v="1"/>
    <n v="50"/>
    <x v="4"/>
    <n v="6"/>
    <n v="6"/>
    <n v="90"/>
    <x v="1"/>
    <x v="0"/>
    <n v="140"/>
    <n v="95"/>
    <n v="10000"/>
    <x v="1"/>
    <s v="Average"/>
    <s v="High"/>
  </r>
  <r>
    <n v="288"/>
    <x v="1"/>
    <n v="50"/>
    <x v="4"/>
    <n v="6"/>
    <n v="6"/>
    <n v="90"/>
    <x v="1"/>
    <x v="0"/>
    <n v="140"/>
    <n v="95"/>
    <n v="10000"/>
    <x v="1"/>
    <s v="Average"/>
    <s v="High"/>
  </r>
  <r>
    <n v="289"/>
    <x v="1"/>
    <n v="50"/>
    <x v="4"/>
    <n v="6"/>
    <n v="6"/>
    <n v="90"/>
    <x v="1"/>
    <x v="0"/>
    <n v="140"/>
    <n v="95"/>
    <n v="10000"/>
    <x v="1"/>
    <s v="Average"/>
    <s v="High"/>
  </r>
  <r>
    <n v="290"/>
    <x v="1"/>
    <n v="50"/>
    <x v="4"/>
    <n v="6.1"/>
    <n v="6"/>
    <n v="90"/>
    <x v="1"/>
    <x v="0"/>
    <n v="140"/>
    <n v="95"/>
    <n v="10000"/>
    <x v="1"/>
    <s v="Average"/>
    <s v="High"/>
  </r>
  <r>
    <n v="291"/>
    <x v="1"/>
    <n v="50"/>
    <x v="4"/>
    <n v="6"/>
    <n v="6"/>
    <n v="90"/>
    <x v="1"/>
    <x v="0"/>
    <n v="140"/>
    <n v="95"/>
    <n v="10000"/>
    <x v="1"/>
    <s v="Average"/>
    <s v="High"/>
  </r>
  <r>
    <n v="292"/>
    <x v="1"/>
    <n v="50"/>
    <x v="4"/>
    <n v="6.1"/>
    <n v="6"/>
    <n v="90"/>
    <x v="1"/>
    <x v="0"/>
    <n v="140"/>
    <n v="95"/>
    <n v="10000"/>
    <x v="1"/>
    <s v="Average"/>
    <s v="High"/>
  </r>
  <r>
    <n v="293"/>
    <x v="1"/>
    <n v="50"/>
    <x v="4"/>
    <n v="6.1"/>
    <n v="6"/>
    <n v="90"/>
    <x v="1"/>
    <x v="0"/>
    <n v="140"/>
    <n v="95"/>
    <n v="10000"/>
    <x v="1"/>
    <s v="Average"/>
    <s v="High"/>
  </r>
  <r>
    <n v="294"/>
    <x v="1"/>
    <n v="50"/>
    <x v="4"/>
    <n v="6"/>
    <n v="6"/>
    <n v="90"/>
    <x v="1"/>
    <x v="0"/>
    <n v="140"/>
    <n v="95"/>
    <n v="10000"/>
    <x v="1"/>
    <s v="Average"/>
    <s v="High"/>
  </r>
  <r>
    <n v="295"/>
    <x v="1"/>
    <n v="50"/>
    <x v="4"/>
    <n v="6.1"/>
    <n v="6"/>
    <n v="90"/>
    <x v="1"/>
    <x v="0"/>
    <n v="140"/>
    <n v="95"/>
    <n v="10000"/>
    <x v="1"/>
    <s v="Average"/>
    <s v="High"/>
  </r>
  <r>
    <n v="296"/>
    <x v="1"/>
    <n v="50"/>
    <x v="4"/>
    <n v="6"/>
    <n v="6"/>
    <n v="90"/>
    <x v="1"/>
    <x v="0"/>
    <n v="140"/>
    <n v="95"/>
    <n v="10000"/>
    <x v="1"/>
    <s v="Average"/>
    <s v="High"/>
  </r>
  <r>
    <n v="297"/>
    <x v="1"/>
    <n v="50"/>
    <x v="4"/>
    <n v="6.1"/>
    <n v="6"/>
    <n v="90"/>
    <x v="1"/>
    <x v="0"/>
    <n v="140"/>
    <n v="95"/>
    <n v="10000"/>
    <x v="1"/>
    <s v="Average"/>
    <s v="High"/>
  </r>
  <r>
    <n v="298"/>
    <x v="1"/>
    <n v="50"/>
    <x v="4"/>
    <n v="6.1"/>
    <n v="6"/>
    <n v="90"/>
    <x v="1"/>
    <x v="0"/>
    <n v="140"/>
    <n v="95"/>
    <n v="10000"/>
    <x v="1"/>
    <s v="Average"/>
    <s v="High"/>
  </r>
  <r>
    <n v="299"/>
    <x v="1"/>
    <n v="51"/>
    <x v="5"/>
    <n v="8.5"/>
    <n v="9"/>
    <n v="30"/>
    <x v="4"/>
    <x v="1"/>
    <n v="125"/>
    <n v="80"/>
    <n v="5000"/>
    <x v="0"/>
    <s v="Good"/>
    <s v="Low"/>
  </r>
  <r>
    <n v="300"/>
    <x v="1"/>
    <n v="51"/>
    <x v="5"/>
    <n v="8.5"/>
    <n v="9"/>
    <n v="30"/>
    <x v="4"/>
    <x v="1"/>
    <n v="125"/>
    <n v="80"/>
    <n v="5000"/>
    <x v="0"/>
    <s v="Good"/>
    <s v="Low"/>
  </r>
  <r>
    <n v="301"/>
    <x v="1"/>
    <n v="51"/>
    <x v="5"/>
    <n v="8.5"/>
    <n v="9"/>
    <n v="30"/>
    <x v="4"/>
    <x v="1"/>
    <n v="125"/>
    <n v="80"/>
    <n v="5000"/>
    <x v="0"/>
    <s v="Good"/>
    <s v="Low"/>
  </r>
  <r>
    <n v="302"/>
    <x v="1"/>
    <n v="51"/>
    <x v="5"/>
    <n v="8.5"/>
    <n v="9"/>
    <n v="30"/>
    <x v="4"/>
    <x v="1"/>
    <n v="125"/>
    <n v="80"/>
    <n v="5000"/>
    <x v="0"/>
    <s v="Good"/>
    <s v="Low"/>
  </r>
  <r>
    <n v="303"/>
    <x v="1"/>
    <n v="51"/>
    <x v="4"/>
    <n v="7.1"/>
    <n v="7"/>
    <n v="55"/>
    <x v="0"/>
    <x v="3"/>
    <n v="125"/>
    <n v="82"/>
    <n v="6000"/>
    <x v="0"/>
    <s v="Average"/>
    <s v="Medium"/>
  </r>
  <r>
    <n v="304"/>
    <x v="1"/>
    <n v="51"/>
    <x v="4"/>
    <n v="6"/>
    <n v="6"/>
    <n v="90"/>
    <x v="1"/>
    <x v="0"/>
    <n v="140"/>
    <n v="95"/>
    <n v="10000"/>
    <x v="1"/>
    <s v="Average"/>
    <s v="High"/>
  </r>
  <r>
    <n v="305"/>
    <x v="1"/>
    <n v="51"/>
    <x v="4"/>
    <n v="6.1"/>
    <n v="6"/>
    <n v="90"/>
    <x v="1"/>
    <x v="0"/>
    <n v="140"/>
    <n v="95"/>
    <n v="10000"/>
    <x v="1"/>
    <s v="Average"/>
    <s v="High"/>
  </r>
  <r>
    <n v="306"/>
    <x v="1"/>
    <n v="51"/>
    <x v="4"/>
    <n v="6.1"/>
    <n v="6"/>
    <n v="90"/>
    <x v="1"/>
    <x v="0"/>
    <n v="140"/>
    <n v="95"/>
    <n v="10000"/>
    <x v="1"/>
    <s v="Average"/>
    <s v="High"/>
  </r>
  <r>
    <n v="307"/>
    <x v="1"/>
    <n v="52"/>
    <x v="6"/>
    <n v="6.5"/>
    <n v="7"/>
    <n v="45"/>
    <x v="2"/>
    <x v="0"/>
    <n v="130"/>
    <n v="85"/>
    <n v="6000"/>
    <x v="2"/>
    <s v="Average"/>
    <s v="Medium"/>
  </r>
  <r>
    <n v="308"/>
    <x v="1"/>
    <n v="52"/>
    <x v="6"/>
    <n v="6.5"/>
    <n v="7"/>
    <n v="45"/>
    <x v="2"/>
    <x v="0"/>
    <n v="130"/>
    <n v="85"/>
    <n v="6000"/>
    <x v="2"/>
    <s v="Average"/>
    <s v="Medium"/>
  </r>
  <r>
    <n v="309"/>
    <x v="1"/>
    <n v="52"/>
    <x v="6"/>
    <n v="6.6"/>
    <n v="7"/>
    <n v="45"/>
    <x v="2"/>
    <x v="0"/>
    <n v="130"/>
    <n v="85"/>
    <n v="6000"/>
    <x v="2"/>
    <s v="Average"/>
    <s v="Medium"/>
  </r>
  <r>
    <n v="310"/>
    <x v="1"/>
    <n v="52"/>
    <x v="6"/>
    <n v="6.6"/>
    <n v="7"/>
    <n v="45"/>
    <x v="2"/>
    <x v="0"/>
    <n v="130"/>
    <n v="85"/>
    <n v="6000"/>
    <x v="2"/>
    <s v="Average"/>
    <s v="Medium"/>
  </r>
  <r>
    <n v="311"/>
    <x v="1"/>
    <n v="52"/>
    <x v="6"/>
    <n v="6.6"/>
    <n v="7"/>
    <n v="45"/>
    <x v="2"/>
    <x v="0"/>
    <n v="130"/>
    <n v="85"/>
    <n v="6000"/>
    <x v="2"/>
    <s v="Average"/>
    <s v="Medium"/>
  </r>
  <r>
    <n v="312"/>
    <x v="1"/>
    <n v="52"/>
    <x v="6"/>
    <n v="6.6"/>
    <n v="7"/>
    <n v="45"/>
    <x v="2"/>
    <x v="0"/>
    <n v="130"/>
    <n v="85"/>
    <n v="6000"/>
    <x v="2"/>
    <s v="Average"/>
    <s v="Medium"/>
  </r>
  <r>
    <n v="313"/>
    <x v="1"/>
    <n v="52"/>
    <x v="5"/>
    <n v="8.4"/>
    <n v="9"/>
    <n v="30"/>
    <x v="4"/>
    <x v="1"/>
    <n v="125"/>
    <n v="80"/>
    <n v="5000"/>
    <x v="0"/>
    <s v="Good"/>
    <s v="Low"/>
  </r>
  <r>
    <n v="314"/>
    <x v="1"/>
    <n v="52"/>
    <x v="5"/>
    <n v="8.4"/>
    <n v="9"/>
    <n v="30"/>
    <x v="4"/>
    <x v="1"/>
    <n v="125"/>
    <n v="80"/>
    <n v="5000"/>
    <x v="0"/>
    <s v="Good"/>
    <s v="Low"/>
  </r>
  <r>
    <n v="315"/>
    <x v="1"/>
    <n v="52"/>
    <x v="5"/>
    <n v="8.4"/>
    <n v="9"/>
    <n v="30"/>
    <x v="4"/>
    <x v="1"/>
    <n v="125"/>
    <n v="80"/>
    <n v="5000"/>
    <x v="0"/>
    <s v="Good"/>
    <s v="Low"/>
  </r>
  <r>
    <n v="316"/>
    <x v="1"/>
    <n v="53"/>
    <x v="5"/>
    <n v="8.3000000000000007"/>
    <n v="9"/>
    <n v="30"/>
    <x v="4"/>
    <x v="1"/>
    <n v="125"/>
    <n v="80"/>
    <n v="5000"/>
    <x v="2"/>
    <s v="Good"/>
    <s v="Low"/>
  </r>
  <r>
    <n v="317"/>
    <x v="1"/>
    <n v="53"/>
    <x v="5"/>
    <n v="8.5"/>
    <n v="9"/>
    <n v="30"/>
    <x v="4"/>
    <x v="1"/>
    <n v="125"/>
    <n v="80"/>
    <n v="5000"/>
    <x v="0"/>
    <s v="Good"/>
    <s v="Low"/>
  </r>
  <r>
    <n v="318"/>
    <x v="1"/>
    <n v="53"/>
    <x v="5"/>
    <n v="8.5"/>
    <n v="9"/>
    <n v="30"/>
    <x v="4"/>
    <x v="1"/>
    <n v="125"/>
    <n v="80"/>
    <n v="5000"/>
    <x v="0"/>
    <s v="Good"/>
    <s v="Low"/>
  </r>
  <r>
    <n v="319"/>
    <x v="1"/>
    <n v="53"/>
    <x v="5"/>
    <n v="8.4"/>
    <n v="9"/>
    <n v="30"/>
    <x v="4"/>
    <x v="1"/>
    <n v="125"/>
    <n v="80"/>
    <n v="5000"/>
    <x v="0"/>
    <s v="Good"/>
    <s v="Low"/>
  </r>
  <r>
    <n v="320"/>
    <x v="1"/>
    <n v="53"/>
    <x v="5"/>
    <n v="8.4"/>
    <n v="9"/>
    <n v="30"/>
    <x v="4"/>
    <x v="1"/>
    <n v="125"/>
    <n v="80"/>
    <n v="5000"/>
    <x v="0"/>
    <s v="Good"/>
    <s v="Low"/>
  </r>
  <r>
    <n v="321"/>
    <x v="1"/>
    <n v="53"/>
    <x v="5"/>
    <n v="8.5"/>
    <n v="9"/>
    <n v="30"/>
    <x v="4"/>
    <x v="1"/>
    <n v="125"/>
    <n v="80"/>
    <n v="5000"/>
    <x v="0"/>
    <s v="Good"/>
    <s v="Low"/>
  </r>
  <r>
    <n v="322"/>
    <x v="1"/>
    <n v="53"/>
    <x v="5"/>
    <n v="8.4"/>
    <n v="9"/>
    <n v="30"/>
    <x v="4"/>
    <x v="1"/>
    <n v="125"/>
    <n v="80"/>
    <n v="5000"/>
    <x v="0"/>
    <s v="Good"/>
    <s v="Low"/>
  </r>
  <r>
    <n v="323"/>
    <x v="1"/>
    <n v="53"/>
    <x v="5"/>
    <n v="8.4"/>
    <n v="9"/>
    <n v="30"/>
    <x v="4"/>
    <x v="1"/>
    <n v="125"/>
    <n v="80"/>
    <n v="5000"/>
    <x v="0"/>
    <s v="Good"/>
    <s v="Low"/>
  </r>
  <r>
    <n v="324"/>
    <x v="1"/>
    <n v="53"/>
    <x v="5"/>
    <n v="8.5"/>
    <n v="9"/>
    <n v="30"/>
    <x v="4"/>
    <x v="1"/>
    <n v="125"/>
    <n v="80"/>
    <n v="5000"/>
    <x v="0"/>
    <s v="Good"/>
    <s v="Low"/>
  </r>
  <r>
    <n v="325"/>
    <x v="1"/>
    <n v="53"/>
    <x v="5"/>
    <n v="8.3000000000000007"/>
    <n v="9"/>
    <n v="30"/>
    <x v="4"/>
    <x v="1"/>
    <n v="125"/>
    <n v="80"/>
    <n v="5000"/>
    <x v="0"/>
    <s v="Good"/>
    <s v="Low"/>
  </r>
  <r>
    <n v="326"/>
    <x v="1"/>
    <n v="53"/>
    <x v="5"/>
    <n v="8.5"/>
    <n v="9"/>
    <n v="30"/>
    <x v="4"/>
    <x v="1"/>
    <n v="125"/>
    <n v="80"/>
    <n v="5000"/>
    <x v="0"/>
    <s v="Good"/>
    <s v="Low"/>
  </r>
  <r>
    <n v="327"/>
    <x v="1"/>
    <n v="53"/>
    <x v="5"/>
    <n v="8.3000000000000007"/>
    <n v="9"/>
    <n v="30"/>
    <x v="4"/>
    <x v="1"/>
    <n v="125"/>
    <n v="80"/>
    <n v="5000"/>
    <x v="0"/>
    <s v="Good"/>
    <s v="Low"/>
  </r>
  <r>
    <n v="328"/>
    <x v="1"/>
    <n v="53"/>
    <x v="5"/>
    <n v="8.5"/>
    <n v="9"/>
    <n v="30"/>
    <x v="4"/>
    <x v="1"/>
    <n v="125"/>
    <n v="80"/>
    <n v="5000"/>
    <x v="0"/>
    <s v="Good"/>
    <s v="Low"/>
  </r>
  <r>
    <n v="329"/>
    <x v="1"/>
    <n v="53"/>
    <x v="5"/>
    <n v="8.3000000000000007"/>
    <n v="9"/>
    <n v="30"/>
    <x v="4"/>
    <x v="1"/>
    <n v="125"/>
    <n v="80"/>
    <n v="5000"/>
    <x v="0"/>
    <s v="Good"/>
    <s v="Low"/>
  </r>
  <r>
    <n v="330"/>
    <x v="1"/>
    <n v="53"/>
    <x v="5"/>
    <n v="8.5"/>
    <n v="9"/>
    <n v="30"/>
    <x v="4"/>
    <x v="1"/>
    <n v="125"/>
    <n v="80"/>
    <n v="5000"/>
    <x v="0"/>
    <s v="Good"/>
    <s v="Low"/>
  </r>
  <r>
    <n v="331"/>
    <x v="1"/>
    <n v="53"/>
    <x v="5"/>
    <n v="8.5"/>
    <n v="9"/>
    <n v="30"/>
    <x v="4"/>
    <x v="1"/>
    <n v="125"/>
    <n v="80"/>
    <n v="5000"/>
    <x v="0"/>
    <s v="Good"/>
    <s v="Low"/>
  </r>
  <r>
    <n v="332"/>
    <x v="1"/>
    <n v="53"/>
    <x v="5"/>
    <n v="8.4"/>
    <n v="9"/>
    <n v="30"/>
    <x v="4"/>
    <x v="1"/>
    <n v="125"/>
    <n v="80"/>
    <n v="5000"/>
    <x v="0"/>
    <s v="Good"/>
    <s v="Low"/>
  </r>
  <r>
    <n v="333"/>
    <x v="1"/>
    <n v="54"/>
    <x v="5"/>
    <n v="8.4"/>
    <n v="9"/>
    <n v="30"/>
    <x v="4"/>
    <x v="1"/>
    <n v="125"/>
    <n v="80"/>
    <n v="5000"/>
    <x v="0"/>
    <s v="Good"/>
    <s v="Low"/>
  </r>
  <r>
    <n v="334"/>
    <x v="1"/>
    <n v="54"/>
    <x v="5"/>
    <n v="8.4"/>
    <n v="9"/>
    <n v="30"/>
    <x v="4"/>
    <x v="1"/>
    <n v="125"/>
    <n v="80"/>
    <n v="5000"/>
    <x v="0"/>
    <s v="Good"/>
    <s v="Low"/>
  </r>
  <r>
    <n v="335"/>
    <x v="1"/>
    <n v="54"/>
    <x v="5"/>
    <n v="8.4"/>
    <n v="9"/>
    <n v="30"/>
    <x v="4"/>
    <x v="1"/>
    <n v="125"/>
    <n v="80"/>
    <n v="5000"/>
    <x v="0"/>
    <s v="Good"/>
    <s v="Low"/>
  </r>
  <r>
    <n v="336"/>
    <x v="1"/>
    <n v="54"/>
    <x v="5"/>
    <n v="8.4"/>
    <n v="9"/>
    <n v="30"/>
    <x v="4"/>
    <x v="1"/>
    <n v="125"/>
    <n v="80"/>
    <n v="5000"/>
    <x v="0"/>
    <s v="Good"/>
    <s v="Low"/>
  </r>
  <r>
    <n v="337"/>
    <x v="1"/>
    <n v="54"/>
    <x v="5"/>
    <n v="8.4"/>
    <n v="9"/>
    <n v="30"/>
    <x v="4"/>
    <x v="1"/>
    <n v="125"/>
    <n v="80"/>
    <n v="5000"/>
    <x v="0"/>
    <s v="Good"/>
    <s v="Low"/>
  </r>
  <r>
    <n v="338"/>
    <x v="1"/>
    <n v="54"/>
    <x v="5"/>
    <n v="8.4"/>
    <n v="9"/>
    <n v="30"/>
    <x v="4"/>
    <x v="1"/>
    <n v="125"/>
    <n v="80"/>
    <n v="5000"/>
    <x v="0"/>
    <s v="Good"/>
    <s v="Low"/>
  </r>
  <r>
    <n v="339"/>
    <x v="1"/>
    <n v="54"/>
    <x v="5"/>
    <n v="8.5"/>
    <n v="9"/>
    <n v="30"/>
    <x v="4"/>
    <x v="1"/>
    <n v="125"/>
    <n v="80"/>
    <n v="5000"/>
    <x v="0"/>
    <s v="Good"/>
    <s v="Low"/>
  </r>
  <r>
    <n v="340"/>
    <x v="1"/>
    <n v="55"/>
    <x v="4"/>
    <n v="8.1"/>
    <n v="9"/>
    <n v="75"/>
    <x v="3"/>
    <x v="0"/>
    <n v="140"/>
    <n v="95"/>
    <n v="5000"/>
    <x v="1"/>
    <s v="Good"/>
    <s v="High"/>
  </r>
  <r>
    <n v="341"/>
    <x v="1"/>
    <n v="55"/>
    <x v="4"/>
    <n v="8.1"/>
    <n v="9"/>
    <n v="75"/>
    <x v="3"/>
    <x v="0"/>
    <n v="140"/>
    <n v="95"/>
    <n v="5000"/>
    <x v="1"/>
    <s v="Good"/>
    <s v="High"/>
  </r>
  <r>
    <n v="342"/>
    <x v="1"/>
    <n v="56"/>
    <x v="1"/>
    <n v="8.1999999999999993"/>
    <n v="9"/>
    <n v="90"/>
    <x v="4"/>
    <x v="3"/>
    <n v="118"/>
    <n v="75"/>
    <n v="10000"/>
    <x v="0"/>
    <s v="Good"/>
    <s v="High"/>
  </r>
  <r>
    <n v="343"/>
    <x v="1"/>
    <n v="56"/>
    <x v="1"/>
    <n v="8.1999999999999993"/>
    <n v="9"/>
    <n v="90"/>
    <x v="4"/>
    <x v="3"/>
    <n v="118"/>
    <n v="75"/>
    <n v="10000"/>
    <x v="0"/>
    <s v="Good"/>
    <s v="High"/>
  </r>
  <r>
    <n v="344"/>
    <x v="1"/>
    <n v="57"/>
    <x v="4"/>
    <n v="8.1"/>
    <n v="9"/>
    <n v="75"/>
    <x v="4"/>
    <x v="0"/>
    <n v="140"/>
    <n v="95"/>
    <n v="7000"/>
    <x v="0"/>
    <s v="Good"/>
    <s v="High"/>
  </r>
  <r>
    <n v="345"/>
    <x v="1"/>
    <n v="57"/>
    <x v="4"/>
    <n v="8.1999999999999993"/>
    <n v="9"/>
    <n v="75"/>
    <x v="4"/>
    <x v="0"/>
    <n v="140"/>
    <n v="95"/>
    <n v="7000"/>
    <x v="1"/>
    <s v="Good"/>
    <s v="High"/>
  </r>
  <r>
    <n v="346"/>
    <x v="1"/>
    <n v="57"/>
    <x v="4"/>
    <n v="8.1999999999999993"/>
    <n v="9"/>
    <n v="75"/>
    <x v="4"/>
    <x v="0"/>
    <n v="140"/>
    <n v="95"/>
    <n v="7000"/>
    <x v="1"/>
    <s v="Good"/>
    <s v="High"/>
  </r>
  <r>
    <n v="347"/>
    <x v="1"/>
    <n v="57"/>
    <x v="4"/>
    <n v="8.1999999999999993"/>
    <n v="9"/>
    <n v="75"/>
    <x v="4"/>
    <x v="0"/>
    <n v="140"/>
    <n v="95"/>
    <n v="7000"/>
    <x v="1"/>
    <s v="Good"/>
    <s v="High"/>
  </r>
  <r>
    <n v="348"/>
    <x v="1"/>
    <n v="57"/>
    <x v="4"/>
    <n v="8.1999999999999993"/>
    <n v="9"/>
    <n v="75"/>
    <x v="4"/>
    <x v="0"/>
    <n v="140"/>
    <n v="95"/>
    <n v="7000"/>
    <x v="1"/>
    <s v="Good"/>
    <s v="High"/>
  </r>
  <r>
    <n v="349"/>
    <x v="1"/>
    <n v="57"/>
    <x v="4"/>
    <n v="8.1999999999999993"/>
    <n v="9"/>
    <n v="75"/>
    <x v="4"/>
    <x v="0"/>
    <n v="140"/>
    <n v="95"/>
    <n v="7000"/>
    <x v="1"/>
    <s v="Good"/>
    <s v="High"/>
  </r>
  <r>
    <n v="350"/>
    <x v="1"/>
    <n v="57"/>
    <x v="4"/>
    <n v="8.1"/>
    <n v="9"/>
    <n v="75"/>
    <x v="4"/>
    <x v="0"/>
    <n v="140"/>
    <n v="95"/>
    <n v="7000"/>
    <x v="1"/>
    <s v="Good"/>
    <s v="High"/>
  </r>
  <r>
    <n v="351"/>
    <x v="1"/>
    <n v="57"/>
    <x v="4"/>
    <n v="8.1"/>
    <n v="9"/>
    <n v="75"/>
    <x v="4"/>
    <x v="0"/>
    <n v="140"/>
    <n v="95"/>
    <n v="7000"/>
    <x v="1"/>
    <s v="Good"/>
    <s v="High"/>
  </r>
  <r>
    <n v="352"/>
    <x v="1"/>
    <n v="57"/>
    <x v="4"/>
    <n v="8.1"/>
    <n v="9"/>
    <n v="75"/>
    <x v="4"/>
    <x v="0"/>
    <n v="140"/>
    <n v="95"/>
    <n v="7000"/>
    <x v="1"/>
    <s v="Good"/>
    <s v="High"/>
  </r>
  <r>
    <n v="353"/>
    <x v="1"/>
    <n v="58"/>
    <x v="4"/>
    <n v="8"/>
    <n v="9"/>
    <n v="75"/>
    <x v="4"/>
    <x v="0"/>
    <n v="140"/>
    <n v="95"/>
    <n v="7000"/>
    <x v="1"/>
    <s v="Good"/>
    <s v="High"/>
  </r>
  <r>
    <n v="354"/>
    <x v="1"/>
    <n v="58"/>
    <x v="4"/>
    <n v="8"/>
    <n v="9"/>
    <n v="75"/>
    <x v="4"/>
    <x v="0"/>
    <n v="140"/>
    <n v="95"/>
    <n v="7000"/>
    <x v="1"/>
    <s v="Good"/>
    <s v="High"/>
  </r>
  <r>
    <n v="355"/>
    <x v="1"/>
    <n v="58"/>
    <x v="4"/>
    <n v="8"/>
    <n v="9"/>
    <n v="75"/>
    <x v="4"/>
    <x v="0"/>
    <n v="140"/>
    <n v="95"/>
    <n v="7000"/>
    <x v="1"/>
    <s v="Good"/>
    <s v="High"/>
  </r>
  <r>
    <n v="356"/>
    <x v="1"/>
    <n v="58"/>
    <x v="4"/>
    <n v="8"/>
    <n v="9"/>
    <n v="75"/>
    <x v="4"/>
    <x v="0"/>
    <n v="140"/>
    <n v="95"/>
    <n v="7000"/>
    <x v="1"/>
    <s v="Good"/>
    <s v="High"/>
  </r>
  <r>
    <n v="357"/>
    <x v="1"/>
    <n v="58"/>
    <x v="4"/>
    <n v="8"/>
    <n v="9"/>
    <n v="75"/>
    <x v="4"/>
    <x v="0"/>
    <n v="140"/>
    <n v="95"/>
    <n v="7000"/>
    <x v="1"/>
    <s v="Good"/>
    <s v="High"/>
  </r>
  <r>
    <n v="358"/>
    <x v="1"/>
    <n v="58"/>
    <x v="4"/>
    <n v="8"/>
    <n v="9"/>
    <n v="75"/>
    <x v="4"/>
    <x v="0"/>
    <n v="140"/>
    <n v="95"/>
    <n v="7000"/>
    <x v="1"/>
    <s v="Good"/>
    <s v="High"/>
  </r>
  <r>
    <n v="359"/>
    <x v="1"/>
    <n v="59"/>
    <x v="4"/>
    <n v="8"/>
    <n v="9"/>
    <n v="75"/>
    <x v="4"/>
    <x v="0"/>
    <n v="140"/>
    <n v="95"/>
    <n v="7000"/>
    <x v="0"/>
    <s v="Good"/>
    <s v="High"/>
  </r>
  <r>
    <n v="360"/>
    <x v="1"/>
    <n v="59"/>
    <x v="4"/>
    <n v="8.1"/>
    <n v="9"/>
    <n v="75"/>
    <x v="4"/>
    <x v="0"/>
    <n v="140"/>
    <n v="95"/>
    <n v="7000"/>
    <x v="0"/>
    <s v="Good"/>
    <s v="High"/>
  </r>
  <r>
    <n v="361"/>
    <x v="1"/>
    <n v="59"/>
    <x v="4"/>
    <n v="8.1999999999999993"/>
    <n v="9"/>
    <n v="75"/>
    <x v="4"/>
    <x v="0"/>
    <n v="140"/>
    <n v="95"/>
    <n v="7000"/>
    <x v="1"/>
    <s v="Good"/>
    <s v="High"/>
  </r>
  <r>
    <n v="362"/>
    <x v="1"/>
    <n v="59"/>
    <x v="4"/>
    <n v="8.1999999999999993"/>
    <n v="9"/>
    <n v="75"/>
    <x v="4"/>
    <x v="0"/>
    <n v="140"/>
    <n v="95"/>
    <n v="7000"/>
    <x v="1"/>
    <s v="Good"/>
    <s v="High"/>
  </r>
  <r>
    <n v="363"/>
    <x v="1"/>
    <n v="59"/>
    <x v="4"/>
    <n v="8.1999999999999993"/>
    <n v="9"/>
    <n v="75"/>
    <x v="4"/>
    <x v="0"/>
    <n v="140"/>
    <n v="95"/>
    <n v="7000"/>
    <x v="1"/>
    <s v="Good"/>
    <s v="High"/>
  </r>
  <r>
    <n v="364"/>
    <x v="1"/>
    <n v="59"/>
    <x v="4"/>
    <n v="8.1999999999999993"/>
    <n v="9"/>
    <n v="75"/>
    <x v="4"/>
    <x v="0"/>
    <n v="140"/>
    <n v="95"/>
    <n v="7000"/>
    <x v="1"/>
    <s v="Good"/>
    <s v="High"/>
  </r>
  <r>
    <n v="365"/>
    <x v="1"/>
    <n v="59"/>
    <x v="4"/>
    <n v="8"/>
    <n v="9"/>
    <n v="75"/>
    <x v="4"/>
    <x v="0"/>
    <n v="140"/>
    <n v="95"/>
    <n v="7000"/>
    <x v="1"/>
    <s v="Good"/>
    <s v="High"/>
  </r>
  <r>
    <n v="366"/>
    <x v="1"/>
    <n v="59"/>
    <x v="4"/>
    <n v="8"/>
    <n v="9"/>
    <n v="75"/>
    <x v="4"/>
    <x v="0"/>
    <n v="140"/>
    <n v="95"/>
    <n v="7000"/>
    <x v="1"/>
    <s v="Good"/>
    <s v="High"/>
  </r>
  <r>
    <n v="367"/>
    <x v="1"/>
    <n v="59"/>
    <x v="4"/>
    <n v="8.1"/>
    <n v="9"/>
    <n v="75"/>
    <x v="4"/>
    <x v="0"/>
    <n v="140"/>
    <n v="95"/>
    <n v="7000"/>
    <x v="1"/>
    <s v="Good"/>
    <s v="High"/>
  </r>
  <r>
    <n v="368"/>
    <x v="1"/>
    <n v="59"/>
    <x v="4"/>
    <n v="8"/>
    <n v="9"/>
    <n v="75"/>
    <x v="4"/>
    <x v="0"/>
    <n v="140"/>
    <n v="95"/>
    <n v="7000"/>
    <x v="1"/>
    <s v="Good"/>
    <s v="High"/>
  </r>
  <r>
    <n v="369"/>
    <x v="1"/>
    <n v="59"/>
    <x v="4"/>
    <n v="8.1"/>
    <n v="9"/>
    <n v="75"/>
    <x v="4"/>
    <x v="0"/>
    <n v="140"/>
    <n v="95"/>
    <n v="7000"/>
    <x v="1"/>
    <s v="Good"/>
    <s v="High"/>
  </r>
  <r>
    <n v="370"/>
    <x v="1"/>
    <n v="59"/>
    <x v="4"/>
    <n v="8.1"/>
    <n v="9"/>
    <n v="75"/>
    <x v="4"/>
    <x v="0"/>
    <n v="140"/>
    <n v="95"/>
    <n v="7000"/>
    <x v="1"/>
    <s v="Good"/>
    <s v="High"/>
  </r>
  <r>
    <n v="371"/>
    <x v="1"/>
    <n v="59"/>
    <x v="4"/>
    <n v="8"/>
    <n v="9"/>
    <n v="75"/>
    <x v="4"/>
    <x v="0"/>
    <n v="140"/>
    <n v="95"/>
    <n v="7000"/>
    <x v="1"/>
    <s v="Good"/>
    <s v="High"/>
  </r>
  <r>
    <n v="372"/>
    <x v="1"/>
    <n v="59"/>
    <x v="4"/>
    <n v="8.1"/>
    <n v="9"/>
    <n v="75"/>
    <x v="4"/>
    <x v="0"/>
    <n v="140"/>
    <n v="95"/>
    <n v="7000"/>
    <x v="1"/>
    <s v="Good"/>
    <s v="High"/>
  </r>
  <r>
    <n v="373"/>
    <x v="1"/>
    <n v="59"/>
    <x v="4"/>
    <n v="8.1"/>
    <n v="9"/>
    <n v="75"/>
    <x v="4"/>
    <x v="0"/>
    <n v="140"/>
    <n v="95"/>
    <n v="7000"/>
    <x v="1"/>
    <s v="Good"/>
    <s v="High"/>
  </r>
  <r>
    <n v="374"/>
    <x v="1"/>
    <n v="59"/>
    <x v="4"/>
    <n v="8.1"/>
    <n v="9"/>
    <n v="75"/>
    <x v="4"/>
    <x v="0"/>
    <n v="140"/>
    <n v="95"/>
    <n v="7000"/>
    <x v="1"/>
    <s v="Good"/>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E68BB-4903-4FBE-A8BE-3D378DB908E2}" name="Ratio of Sleep Disor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X81:Y85" firstHeaderRow="1" firstDataRow="1" firstDataCol="1"/>
  <pivotFields count="15">
    <pivotField dataField="1"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12"/>
  </rowFields>
  <rowItems count="4">
    <i>
      <x/>
    </i>
    <i>
      <x v="1"/>
    </i>
    <i>
      <x v="2"/>
    </i>
    <i t="grand">
      <x/>
    </i>
  </rowItems>
  <colItems count="1">
    <i/>
  </colItems>
  <dataFields count="1">
    <dataField name="Count of Person ID" fld="0" subtotal="count" baseField="12"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F813B-2249-4EF3-BE45-F9255FA46B2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E83:AE84" firstHeaderRow="1" firstDataRow="1" firstDataCol="0"/>
  <pivotFields count="15">
    <pivotField dataField="1"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Items count="1">
    <i/>
  </rowItems>
  <colItems count="1">
    <i/>
  </colItems>
  <dataFields count="1">
    <dataField name="Count of Pers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D206EB-43A1-4DA1-B8B0-76CA9F098B6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E89:AE90" firstHeaderRow="1" firstDataRow="1" firstDataCol="0"/>
  <pivotFields count="15">
    <pivotField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dataField="1" showAll="0">
      <items count="4">
        <item x="2"/>
        <item x="0"/>
        <item x="1"/>
        <item t="default"/>
      </items>
    </pivotField>
    <pivotField showAll="0"/>
    <pivotField showAll="0"/>
  </pivotFields>
  <rowItems count="1">
    <i/>
  </rowItems>
  <colItems count="1">
    <i/>
  </colItems>
  <dataFields count="1">
    <dataField name="Count of Sleep Disorder" fld="12" subtotal="count" showDataAs="percentOfTotal"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99488-B241-4B18-8169-0C53176EE44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E86:AE87" firstHeaderRow="1" firstDataRow="1" firstDataCol="0"/>
  <pivotFields count="15">
    <pivotField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dataField="1" showAll="0"/>
    <pivotField showAll="0"/>
    <pivotField showAll="0"/>
    <pivotField showAll="0"/>
    <pivotField showAll="0"/>
    <pivotField showAll="0">
      <items count="4">
        <item x="2"/>
        <item x="0"/>
        <item x="1"/>
        <item t="default"/>
      </items>
    </pivotField>
    <pivotField showAll="0"/>
    <pivotField showAll="0"/>
  </pivotFields>
  <rowItems count="1">
    <i/>
  </rowItems>
  <colItems count="1">
    <i/>
  </colItems>
  <dataFields count="1">
    <dataField name="Average of Stress Level" fld="7" subtotal="average" baseField="0" baseItem="90560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D488B0-6A24-455F-BF94-1C68DC79DAC7}" name="Average Sleep Duration by 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15">
    <pivotField showAll="0"/>
    <pivotField axis="axisRow" showAll="0">
      <items count="3">
        <item x="1"/>
        <item x="0"/>
        <item t="default"/>
      </items>
    </pivotField>
    <pivotField showAll="0"/>
    <pivotField showAll="0">
      <items count="12">
        <item x="6"/>
        <item x="1"/>
        <item x="5"/>
        <item x="8"/>
        <item x="10"/>
        <item x="4"/>
        <item x="2"/>
        <item x="9"/>
        <item x="7"/>
        <item x="0"/>
        <item x="3"/>
        <item t="default"/>
      </items>
    </pivotField>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Fields count="1">
    <field x="1"/>
  </rowFields>
  <rowItems count="3">
    <i>
      <x/>
    </i>
    <i>
      <x v="1"/>
    </i>
    <i t="grand">
      <x/>
    </i>
  </rowItems>
  <colItems count="1">
    <i/>
  </colItems>
  <dataFields count="1">
    <dataField name="Sum of Sleep Duration" fld="4" baseField="1"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4835C6-7BB9-4455-8389-DE0DDB248F82}" name="Occupation vs Average Sleep Dur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55:S67" firstHeaderRow="1" firstDataRow="1" firstDataCol="1"/>
  <pivotFields count="15">
    <pivotField showAll="0"/>
    <pivotField showAll="0">
      <items count="3">
        <item x="1"/>
        <item x="0"/>
        <item t="default"/>
      </items>
    </pivotField>
    <pivotField showAll="0"/>
    <pivotField axis="axisRow" showAll="0">
      <items count="12">
        <item x="6"/>
        <item x="1"/>
        <item x="5"/>
        <item x="8"/>
        <item x="10"/>
        <item x="4"/>
        <item x="2"/>
        <item x="9"/>
        <item x="7"/>
        <item x="0"/>
        <item x="3"/>
        <item t="default"/>
      </items>
    </pivotField>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Sum of Sleep Duration"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AA1C5C-E9E6-4028-82AF-5994560383F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E80:AE81" firstHeaderRow="1" firstDataRow="1" firstDataCol="0"/>
  <pivotFields count="15">
    <pivotField showAll="0"/>
    <pivotField showAll="0">
      <items count="3">
        <item x="1"/>
        <item x="0"/>
        <item t="default"/>
      </items>
    </pivotField>
    <pivotField showAll="0"/>
    <pivotField showAll="0">
      <items count="12">
        <item x="6"/>
        <item x="1"/>
        <item x="5"/>
        <item x="8"/>
        <item x="10"/>
        <item x="4"/>
        <item x="2"/>
        <item x="9"/>
        <item x="7"/>
        <item x="0"/>
        <item x="3"/>
        <item t="default"/>
      </items>
    </pivotField>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s>
  <rowItems count="1">
    <i/>
  </rowItems>
  <colItems count="1">
    <i/>
  </colItems>
  <dataFields count="1">
    <dataField name="Average of Sleep Duration" fld="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85242A-1912-4609-9755-52C4BE1A1DF0}" name="Sleep Disorder Count by BMI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35:O41" firstHeaderRow="1" firstDataRow="2" firstDataCol="1"/>
  <pivotFields count="15">
    <pivotField dataField="1"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showAll="0"/>
    <pivotField showAll="0"/>
    <pivotField showAll="0"/>
    <pivotField axis="axisRow" showAll="0">
      <items count="5">
        <item x="1"/>
        <item x="3"/>
        <item x="2"/>
        <item x="0"/>
        <item t="default"/>
      </items>
    </pivotField>
    <pivotField showAll="0"/>
    <pivotField showAll="0"/>
    <pivotField showAll="0"/>
    <pivotField axis="axisCol" showAll="0">
      <items count="4">
        <item x="2"/>
        <item x="0"/>
        <item x="1"/>
        <item t="default"/>
      </items>
    </pivotField>
    <pivotField showAll="0"/>
    <pivotField showAll="0"/>
  </pivotFields>
  <rowFields count="1">
    <field x="8"/>
  </rowFields>
  <rowItems count="5">
    <i>
      <x/>
    </i>
    <i>
      <x v="1"/>
    </i>
    <i>
      <x v="2"/>
    </i>
    <i>
      <x v="3"/>
    </i>
    <i t="grand">
      <x/>
    </i>
  </rowItems>
  <colFields count="1">
    <field x="12"/>
  </colFields>
  <colItems count="4">
    <i>
      <x/>
    </i>
    <i>
      <x v="1"/>
    </i>
    <i>
      <x v="2"/>
    </i>
    <i t="grand">
      <x/>
    </i>
  </colItems>
  <dataFields count="1">
    <dataField name="Count of Person ID" fld="0" subtotal="count" baseField="8"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6AF0A4-1253-4742-8E96-509B2368481F}" name="Stress Level vs Sleep Qual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15:G22" firstHeaderRow="1" firstDataRow="1" firstDataCol="1"/>
  <pivotFields count="15">
    <pivotField showAll="0"/>
    <pivotField showAll="0">
      <items count="3">
        <item x="1"/>
        <item x="0"/>
        <item t="default"/>
      </items>
    </pivotField>
    <pivotField showAll="0"/>
    <pivotField showAll="0">
      <items count="12">
        <item x="6"/>
        <item x="1"/>
        <item x="5"/>
        <item x="8"/>
        <item x="10"/>
        <item x="4"/>
        <item x="2"/>
        <item x="9"/>
        <item x="7"/>
        <item x="0"/>
        <item x="3"/>
        <item t="default"/>
      </items>
    </pivotField>
    <pivotField showAll="0"/>
    <pivotField dataField="1" showAll="0"/>
    <pivotField showAll="0"/>
    <pivotField axis="axisRow" showAll="0">
      <items count="7">
        <item x="4"/>
        <item x="3"/>
        <item x="5"/>
        <item x="0"/>
        <item x="2"/>
        <item x="1"/>
        <item t="default"/>
      </items>
    </pivotField>
    <pivotField showAll="0"/>
    <pivotField showAll="0"/>
    <pivotField showAll="0"/>
    <pivotField showAll="0"/>
    <pivotField showAll="0">
      <items count="4">
        <item x="2"/>
        <item x="0"/>
        <item x="1"/>
        <item t="default"/>
      </items>
    </pivotField>
    <pivotField showAll="0"/>
    <pivotField showAll="0"/>
  </pivotFields>
  <rowFields count="1">
    <field x="7"/>
  </rowFields>
  <rowItems count="7">
    <i>
      <x/>
    </i>
    <i>
      <x v="1"/>
    </i>
    <i>
      <x v="2"/>
    </i>
    <i>
      <x v="3"/>
    </i>
    <i>
      <x v="4"/>
    </i>
    <i>
      <x v="5"/>
    </i>
    <i t="grand">
      <x/>
    </i>
  </rowItems>
  <colItems count="1">
    <i/>
  </colItems>
  <dataFields count="1">
    <dataField name="Average of Quality of Sleep" fld="5" subtotal="average" baseField="7" baseItem="0"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5"/>
          </reference>
        </references>
      </pivotArea>
    </chartFormat>
    <chartFormat chart="2" format="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4E38D8-4CB6-48EE-839B-D11FD9823577}" autoFormatId="16" applyNumberFormats="0" applyBorderFormats="0" applyFontFormats="0" applyPatternFormats="0" applyAlignmentFormats="0" applyWidthHeightFormats="0">
  <queryTableRefresh nextId="14">
    <queryTableFields count="13">
      <queryTableField id="1" name="Person ID" tableColumnId="1"/>
      <queryTableField id="2" name="Gender" tableColumnId="2"/>
      <queryTableField id="3" name="Age" tableColumnId="3"/>
      <queryTableField id="4" name="Occupation" tableColumnId="4"/>
      <queryTableField id="5" name="Sleep Duration" tableColumnId="5"/>
      <queryTableField id="6" name="Quality of Sleep" tableColumnId="6"/>
      <queryTableField id="7" name="Physical Activity Level" tableColumnId="7"/>
      <queryTableField id="8" name="Stress Level" tableColumnId="8"/>
      <queryTableField id="9" name="BMI Category" tableColumnId="9"/>
      <queryTableField id="10" name="Blood Pressure" tableColumnId="10"/>
      <queryTableField id="11" name="Heart Rate" tableColumnId="11"/>
      <queryTableField id="12" name="Daily Steps" tableColumnId="12"/>
      <queryTableField id="13" name="Sleep Disorder"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AB5EDE6-C0B4-491E-B10D-06359809F2C3}" autoFormatId="16" applyNumberFormats="0" applyBorderFormats="0" applyFontFormats="0" applyPatternFormats="0" applyAlignmentFormats="0" applyWidthHeightFormats="0">
  <queryTableRefresh nextId="18" unboundColumnsRight="2">
    <queryTableFields count="15">
      <queryTableField id="1" name="Person ID" tableColumnId="1"/>
      <queryTableField id="2" name="Gender" tableColumnId="2"/>
      <queryTableField id="3" name="Age" tableColumnId="3"/>
      <queryTableField id="4" name="Occupation" tableColumnId="4"/>
      <queryTableField id="5" name="Sleep Duration" tableColumnId="5"/>
      <queryTableField id="6" name="Quality of Sleep" tableColumnId="6"/>
      <queryTableField id="7" name="Physical Activity Level" tableColumnId="7"/>
      <queryTableField id="8" name="Stress Level" tableColumnId="8"/>
      <queryTableField id="9" name="BMI Category" tableColumnId="9"/>
      <queryTableField id="10" name="Blood Pressure" tableColumnId="10"/>
      <queryTableField id="11" name="Heart Rate" tableColumnId="11"/>
      <queryTableField id="12" name="Daily Steps" tableColumnId="12"/>
      <queryTableField id="13" name="Sleep Disorder"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F7DB7F7-A4FC-46F0-A870-A081AA41719B}" sourceName="Gender">
  <pivotTables>
    <pivotTable tabId="4" name="Occupation vs Average Sleep Duration"/>
    <pivotTable tabId="4" name="Average Sleep Duration by Gender"/>
    <pivotTable tabId="4" name="Ratio of Sleep Disorder"/>
    <pivotTable tabId="4" name="Sleep Disorder Count by BMI Category"/>
    <pivotTable tabId="4" name="Stress Level vs Sleep Quality"/>
    <pivotTable tabId="4" name="PivotTable6"/>
    <pivotTable tabId="4" name="PivotTable7"/>
    <pivotTable tabId="4" name="PivotTable8"/>
    <pivotTable tabId="4" name="PivotTable9"/>
  </pivotTables>
  <data>
    <tabular pivotCacheId="3561288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CE049E9-92F1-4071-80E4-F4F7B9B258E9}" sourceName="Occupation">
  <pivotTables>
    <pivotTable tabId="4" name="Sleep Disorder Count by BMI Category"/>
    <pivotTable tabId="4" name="Average Sleep Duration by Gender"/>
    <pivotTable tabId="4" name="Occupation vs Average Sleep Duration"/>
    <pivotTable tabId="4" name="Ratio of Sleep Disorder"/>
    <pivotTable tabId="4" name="Stress Level vs Sleep Quality"/>
    <pivotTable tabId="4" name="PivotTable6"/>
    <pivotTable tabId="4" name="PivotTable7"/>
    <pivotTable tabId="4" name="PivotTable8"/>
    <pivotTable tabId="4" name="PivotTable9"/>
  </pivotTables>
  <data>
    <tabular pivotCacheId="35612889">
      <items count="11">
        <i x="6" s="1"/>
        <i x="1" s="1"/>
        <i x="5" s="1"/>
        <i x="8" s="1"/>
        <i x="10" s="1"/>
        <i x="4" s="1"/>
        <i x="2" s="1"/>
        <i x="9" s="1"/>
        <i x="7"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 xr10:uid="{1D8BB29D-E430-4454-A3D3-6080F60CD1BC}" sourceName="Sleep Disorder">
  <pivotTables>
    <pivotTable tabId="4" name="Sleep Disorder Count by BMI Category"/>
    <pivotTable tabId="4" name="Average Sleep Duration by Gender"/>
    <pivotTable tabId="4" name="Occupation vs Average Sleep Duration"/>
    <pivotTable tabId="4" name="Ratio of Sleep Disorder"/>
    <pivotTable tabId="4" name="Stress Level vs Sleep Quality"/>
    <pivotTable tabId="4" name="PivotTable6"/>
    <pivotTable tabId="4" name="PivotTable7"/>
    <pivotTable tabId="4" name="PivotTable8"/>
    <pivotTable tabId="4" name="PivotTable9"/>
  </pivotTables>
  <data>
    <tabular pivotCacheId="3561288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E4BD9A-A50E-4EE0-8811-F8D8458ED943}" cache="Slicer_Gender" caption="Gender" rowHeight="241300"/>
  <slicer name="Occupation" xr10:uid="{1DA3C88A-FD22-4776-B4A7-62B28DEBEF02}" cache="Slicer_Occupation" caption="Occupation" rowHeight="241300"/>
  <slicer name="Sleep Disorder" xr10:uid="{6BD837F5-F0DC-4BB6-A235-ED274098A7B7}" cache="Slicer_Sleep_Disorder" caption="Sleep Disor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9D9A1F1-A8EB-492C-8958-E0AF236BC4C3}" cache="Slicer_Gender" caption="       Gender" showCaption="0" style="SlicerStyleLight3" rowHeight="241300"/>
  <slicer name="Occupation 1" xr10:uid="{8A14FA7D-AD35-4DB8-99A5-6C34657E6A22}" cache="Slicer_Occupation" caption="Occupation" startItem="4" showCaption="0" style="SlicerStyleLight3" rowHeight="241300"/>
  <slicer name="Sleep Disorder 1" xr10:uid="{D01E7F8D-13D8-481F-A2FB-DE8371AE3D0B}" cache="Slicer_Sleep_Disorder" caption="Sleep Disorder" showCaption="0"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EE119F-7BAE-40F1-AC72-3CB6281D79A1}" name="Sleep_health_and_lifestyle_dataset" displayName="Sleep_health_and_lifestyle_dataset" ref="A1:M375" tableType="queryTable" totalsRowShown="0">
  <autoFilter ref="A1:M375" xr:uid="{08EE119F-7BAE-40F1-AC72-3CB6281D79A1}"/>
  <tableColumns count="13">
    <tableColumn id="1" xr3:uid="{FD2CC691-360A-4B2F-B8AD-69912397A7F3}" uniqueName="1" name="Person ID" queryTableFieldId="1"/>
    <tableColumn id="2" xr3:uid="{81AB3389-FFBA-4733-8C89-7A61403E5FB0}" uniqueName="2" name="Gender" queryTableFieldId="2" dataDxfId="12"/>
    <tableColumn id="3" xr3:uid="{3BC5966B-9A23-46B0-8448-4B2E40A5D38F}" uniqueName="3" name="Age" queryTableFieldId="3"/>
    <tableColumn id="4" xr3:uid="{0403D16D-7274-43F4-9157-175A4C573D1F}" uniqueName="4" name="Occupation" queryTableFieldId="4" dataDxfId="11"/>
    <tableColumn id="5" xr3:uid="{EFD2FD17-ED5B-4F3B-8B9F-4B3B5EA35C04}" uniqueName="5" name="Sleep Duration" queryTableFieldId="5"/>
    <tableColumn id="6" xr3:uid="{854D972E-D188-4190-A74E-BB00E23EB67A}" uniqueName="6" name="Quality of Sleep" queryTableFieldId="6"/>
    <tableColumn id="7" xr3:uid="{E1856D7D-57D7-40A5-981F-CF0611A1FD01}" uniqueName="7" name="Physical Activity Level" queryTableFieldId="7"/>
    <tableColumn id="8" xr3:uid="{C5B41A1C-630A-4964-B39F-CE038CC08F89}" uniqueName="8" name="Stress Level" queryTableFieldId="8"/>
    <tableColumn id="9" xr3:uid="{D55F5F10-D716-46FA-B995-C8A9F844ADFB}" uniqueName="9" name="BMI Category" queryTableFieldId="9" dataDxfId="10"/>
    <tableColumn id="10" xr3:uid="{ECAF1EA2-7624-47D9-87D1-87F0F5F023CD}" uniqueName="10" name="Blood Pressure" queryTableFieldId="10" dataDxfId="9"/>
    <tableColumn id="11" xr3:uid="{0829A1AF-33FD-4F67-80AC-C68D01693B50}" uniqueName="11" name="Heart Rate" queryTableFieldId="11"/>
    <tableColumn id="12" xr3:uid="{7FE44DEF-808F-4F74-8F26-5C122054D916}" uniqueName="12" name="Daily Steps" queryTableFieldId="12"/>
    <tableColumn id="13" xr3:uid="{5E754355-2835-4560-9714-C3FD3534DD64}" uniqueName="13" name="Sleep Disorder" queryTableFieldId="13"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B20B58-4DCF-4CF8-81FB-494E5BE91A76}" name="Sleep_health_and_lifestyle_dataset3" displayName="Sleep_health_and_lifestyle_dataset3" ref="A1:O375" tableType="queryTable" totalsRowShown="0" headerRowDxfId="7">
  <tableColumns count="15">
    <tableColumn id="1" xr3:uid="{FDDED5DA-415F-4CB0-A4ED-CFCE0E267153}" uniqueName="1" name="Person ID" queryTableFieldId="1"/>
    <tableColumn id="2" xr3:uid="{9EB83902-7320-40F6-8400-80AD50F48A7F}" uniqueName="2" name="Gender" queryTableFieldId="2" dataDxfId="6"/>
    <tableColumn id="3" xr3:uid="{A43F0990-5A05-43B6-8FFC-14877727D920}" uniqueName="3" name="Age" queryTableFieldId="3"/>
    <tableColumn id="4" xr3:uid="{C2166085-E762-4AB2-9EE4-2E062B2E35F5}" uniqueName="4" name="Occupation" queryTableFieldId="4" dataDxfId="5"/>
    <tableColumn id="5" xr3:uid="{1AF3DAEE-483F-4F97-A947-4E7AC08F82DB}" uniqueName="5" name="Sleep Duration" queryTableFieldId="5"/>
    <tableColumn id="6" xr3:uid="{6A1C9D46-FDA5-4A5E-A370-AD7A2CA5F07D}" uniqueName="6" name="Quality of Sleep" queryTableFieldId="6"/>
    <tableColumn id="7" xr3:uid="{50B3198B-5670-453D-A906-68F00C6EF53F}" uniqueName="7" name="Physical Activity Level" queryTableFieldId="7"/>
    <tableColumn id="8" xr3:uid="{6E1BED99-AE16-4F49-B3AB-924F54CE225A}" uniqueName="8" name="Stress Level" queryTableFieldId="8"/>
    <tableColumn id="9" xr3:uid="{8808EF2A-9253-4CC0-917E-E177F8C01875}" uniqueName="9" name="BMI Category" queryTableFieldId="9" dataDxfId="4"/>
    <tableColumn id="10" xr3:uid="{B87B8534-6C32-471A-A656-F2AE25CBF580}" uniqueName="10" name="Systolic_BP" queryTableFieldId="10" dataDxfId="3"/>
    <tableColumn id="11" xr3:uid="{2C2158D4-78EB-4A90-8A06-16CB4368505A}" uniqueName="11" name="Diastolic_BP" queryTableFieldId="11"/>
    <tableColumn id="12" xr3:uid="{7CD3F523-6C79-4F68-A565-0E504255CA9C}" uniqueName="12" name="Daily Steps" queryTableFieldId="12"/>
    <tableColumn id="13" xr3:uid="{EEB924CE-194E-429A-A4E3-72B4F5EAE6F1}" uniqueName="13" name="Sleep Disorder" queryTableFieldId="13" dataDxfId="2"/>
    <tableColumn id="14" xr3:uid="{288A25F0-A0F9-4996-8478-82FEE075936C}" uniqueName="14" name="Sleep Quality Category " queryTableFieldId="14" dataDxfId="1">
      <calculatedColumnFormula>IF(Sleep_health_and_lifestyle_dataset3[[#This Row],[Sleep Duration]]&gt;=8,"Good",IF(Sleep_health_and_lifestyle_dataset3[[#This Row],[Sleep Duration]]&gt;=5,"Average","Poor"))</calculatedColumnFormula>
    </tableColumn>
    <tableColumn id="15" xr3:uid="{B387BE5D-5622-42D2-A211-2D9EECC7F535}" uniqueName="15" name="Activity Level Group" queryTableFieldId="15" dataDxfId="0">
      <calculatedColumnFormula>IF(Sleep_health_and_lifestyle_dataset3[[#This Row],[Physical Activity Level]]&gt;=60,"High",IF(Sleep_health_and_lifestyle_dataset3[[#This Row],[Physical Activity Level]]&gt;=40,"Medium","Low"))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6064-4267-4884-9587-3D9E067E4C55}">
  <dimension ref="A1:M375"/>
  <sheetViews>
    <sheetView topLeftCell="B7" workbookViewId="0">
      <selection activeCell="M1" sqref="M1"/>
    </sheetView>
  </sheetViews>
  <sheetFormatPr defaultRowHeight="15" x14ac:dyDescent="0.25"/>
  <cols>
    <col min="1" max="1" width="11.7109375" bestFit="1" customWidth="1"/>
    <col min="2" max="2" width="10" bestFit="1" customWidth="1"/>
    <col min="3" max="3" width="6.7109375" bestFit="1" customWidth="1"/>
    <col min="4" max="4" width="19.85546875" bestFit="1" customWidth="1"/>
    <col min="5" max="5" width="16.5703125" bestFit="1" customWidth="1"/>
    <col min="6" max="6" width="17.5703125" bestFit="1" customWidth="1"/>
    <col min="7" max="7" width="23" bestFit="1" customWidth="1"/>
    <col min="8" max="8" width="13.7109375" bestFit="1" customWidth="1"/>
    <col min="9" max="9" width="15.140625" bestFit="1" customWidth="1"/>
    <col min="10" max="10" width="16.7109375" bestFit="1" customWidth="1"/>
    <col min="11" max="11" width="12.5703125" bestFit="1" customWidth="1"/>
    <col min="12" max="12" width="13" bestFit="1" customWidth="1"/>
    <col min="13" max="13" width="16.42578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v>27</v>
      </c>
      <c r="D2" t="s">
        <v>14</v>
      </c>
      <c r="E2">
        <v>6.1</v>
      </c>
      <c r="F2">
        <v>6</v>
      </c>
      <c r="G2">
        <v>42</v>
      </c>
      <c r="H2">
        <v>6</v>
      </c>
      <c r="I2" t="s">
        <v>15</v>
      </c>
      <c r="J2" t="s">
        <v>16</v>
      </c>
      <c r="K2">
        <v>77</v>
      </c>
      <c r="L2">
        <v>4200</v>
      </c>
      <c r="M2" t="s">
        <v>17</v>
      </c>
    </row>
    <row r="3" spans="1:13" x14ac:dyDescent="0.25">
      <c r="A3">
        <v>2</v>
      </c>
      <c r="B3" t="s">
        <v>13</v>
      </c>
      <c r="C3">
        <v>28</v>
      </c>
      <c r="D3" t="s">
        <v>18</v>
      </c>
      <c r="E3">
        <v>6.2</v>
      </c>
      <c r="F3">
        <v>6</v>
      </c>
      <c r="G3">
        <v>60</v>
      </c>
      <c r="H3">
        <v>8</v>
      </c>
      <c r="I3" t="s">
        <v>19</v>
      </c>
      <c r="J3" t="s">
        <v>20</v>
      </c>
      <c r="K3">
        <v>75</v>
      </c>
      <c r="L3">
        <v>10000</v>
      </c>
      <c r="M3" t="s">
        <v>17</v>
      </c>
    </row>
    <row r="4" spans="1:13" x14ac:dyDescent="0.25">
      <c r="A4">
        <v>3</v>
      </c>
      <c r="B4" t="s">
        <v>13</v>
      </c>
      <c r="C4">
        <v>28</v>
      </c>
      <c r="D4" t="s">
        <v>18</v>
      </c>
      <c r="E4">
        <v>6.2</v>
      </c>
      <c r="F4">
        <v>6</v>
      </c>
      <c r="G4">
        <v>60</v>
      </c>
      <c r="H4">
        <v>8</v>
      </c>
      <c r="I4" t="s">
        <v>19</v>
      </c>
      <c r="J4" t="s">
        <v>20</v>
      </c>
      <c r="K4">
        <v>75</v>
      </c>
      <c r="L4">
        <v>10000</v>
      </c>
      <c r="M4" t="s">
        <v>17</v>
      </c>
    </row>
    <row r="5" spans="1:13" x14ac:dyDescent="0.25">
      <c r="A5">
        <v>4</v>
      </c>
      <c r="B5" t="s">
        <v>13</v>
      </c>
      <c r="C5">
        <v>28</v>
      </c>
      <c r="D5" t="s">
        <v>21</v>
      </c>
      <c r="E5">
        <v>5.9</v>
      </c>
      <c r="F5">
        <v>4</v>
      </c>
      <c r="G5">
        <v>30</v>
      </c>
      <c r="H5">
        <v>8</v>
      </c>
      <c r="I5" t="s">
        <v>22</v>
      </c>
      <c r="J5" t="s">
        <v>23</v>
      </c>
      <c r="K5">
        <v>85</v>
      </c>
      <c r="L5">
        <v>3000</v>
      </c>
      <c r="M5" t="s">
        <v>24</v>
      </c>
    </row>
    <row r="6" spans="1:13" x14ac:dyDescent="0.25">
      <c r="A6">
        <v>5</v>
      </c>
      <c r="B6" t="s">
        <v>13</v>
      </c>
      <c r="C6">
        <v>28</v>
      </c>
      <c r="D6" t="s">
        <v>21</v>
      </c>
      <c r="E6">
        <v>5.9</v>
      </c>
      <c r="F6">
        <v>4</v>
      </c>
      <c r="G6">
        <v>30</v>
      </c>
      <c r="H6">
        <v>8</v>
      </c>
      <c r="I6" t="s">
        <v>22</v>
      </c>
      <c r="J6" t="s">
        <v>23</v>
      </c>
      <c r="K6">
        <v>85</v>
      </c>
      <c r="L6">
        <v>3000</v>
      </c>
      <c r="M6" t="s">
        <v>24</v>
      </c>
    </row>
    <row r="7" spans="1:13" x14ac:dyDescent="0.25">
      <c r="A7">
        <v>6</v>
      </c>
      <c r="B7" t="s">
        <v>13</v>
      </c>
      <c r="C7">
        <v>28</v>
      </c>
      <c r="D7" t="s">
        <v>14</v>
      </c>
      <c r="E7">
        <v>5.9</v>
      </c>
      <c r="F7">
        <v>4</v>
      </c>
      <c r="G7">
        <v>30</v>
      </c>
      <c r="H7">
        <v>8</v>
      </c>
      <c r="I7" t="s">
        <v>22</v>
      </c>
      <c r="J7" t="s">
        <v>23</v>
      </c>
      <c r="K7">
        <v>85</v>
      </c>
      <c r="L7">
        <v>3000</v>
      </c>
      <c r="M7" t="s">
        <v>25</v>
      </c>
    </row>
    <row r="8" spans="1:13" x14ac:dyDescent="0.25">
      <c r="A8">
        <v>7</v>
      </c>
      <c r="B8" t="s">
        <v>13</v>
      </c>
      <c r="C8">
        <v>29</v>
      </c>
      <c r="D8" t="s">
        <v>26</v>
      </c>
      <c r="E8">
        <v>6.3</v>
      </c>
      <c r="F8">
        <v>6</v>
      </c>
      <c r="G8">
        <v>40</v>
      </c>
      <c r="H8">
        <v>7</v>
      </c>
      <c r="I8" t="s">
        <v>22</v>
      </c>
      <c r="J8" t="s">
        <v>23</v>
      </c>
      <c r="K8">
        <v>82</v>
      </c>
      <c r="L8">
        <v>3500</v>
      </c>
      <c r="M8" t="s">
        <v>25</v>
      </c>
    </row>
    <row r="9" spans="1:13" x14ac:dyDescent="0.25">
      <c r="A9">
        <v>8</v>
      </c>
      <c r="B9" t="s">
        <v>13</v>
      </c>
      <c r="C9">
        <v>29</v>
      </c>
      <c r="D9" t="s">
        <v>18</v>
      </c>
      <c r="E9">
        <v>7.8</v>
      </c>
      <c r="F9">
        <v>7</v>
      </c>
      <c r="G9">
        <v>75</v>
      </c>
      <c r="H9">
        <v>6</v>
      </c>
      <c r="I9" t="s">
        <v>19</v>
      </c>
      <c r="J9" t="s">
        <v>27</v>
      </c>
      <c r="K9">
        <v>70</v>
      </c>
      <c r="L9">
        <v>8000</v>
      </c>
      <c r="M9" t="s">
        <v>17</v>
      </c>
    </row>
    <row r="10" spans="1:13" x14ac:dyDescent="0.25">
      <c r="A10">
        <v>9</v>
      </c>
      <c r="B10" t="s">
        <v>13</v>
      </c>
      <c r="C10">
        <v>29</v>
      </c>
      <c r="D10" t="s">
        <v>18</v>
      </c>
      <c r="E10">
        <v>7.8</v>
      </c>
      <c r="F10">
        <v>7</v>
      </c>
      <c r="G10">
        <v>75</v>
      </c>
      <c r="H10">
        <v>6</v>
      </c>
      <c r="I10" t="s">
        <v>19</v>
      </c>
      <c r="J10" t="s">
        <v>27</v>
      </c>
      <c r="K10">
        <v>70</v>
      </c>
      <c r="L10">
        <v>8000</v>
      </c>
      <c r="M10" t="s">
        <v>17</v>
      </c>
    </row>
    <row r="11" spans="1:13" x14ac:dyDescent="0.25">
      <c r="A11">
        <v>10</v>
      </c>
      <c r="B11" t="s">
        <v>13</v>
      </c>
      <c r="C11">
        <v>29</v>
      </c>
      <c r="D11" t="s">
        <v>18</v>
      </c>
      <c r="E11">
        <v>7.8</v>
      </c>
      <c r="F11">
        <v>7</v>
      </c>
      <c r="G11">
        <v>75</v>
      </c>
      <c r="H11">
        <v>6</v>
      </c>
      <c r="I11" t="s">
        <v>19</v>
      </c>
      <c r="J11" t="s">
        <v>27</v>
      </c>
      <c r="K11">
        <v>70</v>
      </c>
      <c r="L11">
        <v>8000</v>
      </c>
      <c r="M11" t="s">
        <v>17</v>
      </c>
    </row>
    <row r="12" spans="1:13" x14ac:dyDescent="0.25">
      <c r="A12">
        <v>11</v>
      </c>
      <c r="B12" t="s">
        <v>13</v>
      </c>
      <c r="C12">
        <v>29</v>
      </c>
      <c r="D12" t="s">
        <v>18</v>
      </c>
      <c r="E12">
        <v>6.1</v>
      </c>
      <c r="F12">
        <v>6</v>
      </c>
      <c r="G12">
        <v>30</v>
      </c>
      <c r="H12">
        <v>8</v>
      </c>
      <c r="I12" t="s">
        <v>19</v>
      </c>
      <c r="J12" t="s">
        <v>27</v>
      </c>
      <c r="K12">
        <v>70</v>
      </c>
      <c r="L12">
        <v>8000</v>
      </c>
      <c r="M12" t="s">
        <v>17</v>
      </c>
    </row>
    <row r="13" spans="1:13" x14ac:dyDescent="0.25">
      <c r="A13">
        <v>12</v>
      </c>
      <c r="B13" t="s">
        <v>13</v>
      </c>
      <c r="C13">
        <v>29</v>
      </c>
      <c r="D13" t="s">
        <v>18</v>
      </c>
      <c r="E13">
        <v>7.8</v>
      </c>
      <c r="F13">
        <v>7</v>
      </c>
      <c r="G13">
        <v>75</v>
      </c>
      <c r="H13">
        <v>6</v>
      </c>
      <c r="I13" t="s">
        <v>19</v>
      </c>
      <c r="J13" t="s">
        <v>27</v>
      </c>
      <c r="K13">
        <v>70</v>
      </c>
      <c r="L13">
        <v>8000</v>
      </c>
      <c r="M13" t="s">
        <v>17</v>
      </c>
    </row>
    <row r="14" spans="1:13" x14ac:dyDescent="0.25">
      <c r="A14">
        <v>13</v>
      </c>
      <c r="B14" t="s">
        <v>13</v>
      </c>
      <c r="C14">
        <v>29</v>
      </c>
      <c r="D14" t="s">
        <v>18</v>
      </c>
      <c r="E14">
        <v>6.1</v>
      </c>
      <c r="F14">
        <v>6</v>
      </c>
      <c r="G14">
        <v>30</v>
      </c>
      <c r="H14">
        <v>8</v>
      </c>
      <c r="I14" t="s">
        <v>19</v>
      </c>
      <c r="J14" t="s">
        <v>27</v>
      </c>
      <c r="K14">
        <v>70</v>
      </c>
      <c r="L14">
        <v>8000</v>
      </c>
      <c r="M14" t="s">
        <v>17</v>
      </c>
    </row>
    <row r="15" spans="1:13" x14ac:dyDescent="0.25">
      <c r="A15">
        <v>14</v>
      </c>
      <c r="B15" t="s">
        <v>13</v>
      </c>
      <c r="C15">
        <v>29</v>
      </c>
      <c r="D15" t="s">
        <v>18</v>
      </c>
      <c r="E15">
        <v>6</v>
      </c>
      <c r="F15">
        <v>6</v>
      </c>
      <c r="G15">
        <v>30</v>
      </c>
      <c r="H15">
        <v>8</v>
      </c>
      <c r="I15" t="s">
        <v>19</v>
      </c>
      <c r="J15" t="s">
        <v>27</v>
      </c>
      <c r="K15">
        <v>70</v>
      </c>
      <c r="L15">
        <v>8000</v>
      </c>
      <c r="M15" t="s">
        <v>17</v>
      </c>
    </row>
    <row r="16" spans="1:13" x14ac:dyDescent="0.25">
      <c r="A16">
        <v>15</v>
      </c>
      <c r="B16" t="s">
        <v>13</v>
      </c>
      <c r="C16">
        <v>29</v>
      </c>
      <c r="D16" t="s">
        <v>18</v>
      </c>
      <c r="E16">
        <v>6</v>
      </c>
      <c r="F16">
        <v>6</v>
      </c>
      <c r="G16">
        <v>30</v>
      </c>
      <c r="H16">
        <v>8</v>
      </c>
      <c r="I16" t="s">
        <v>19</v>
      </c>
      <c r="J16" t="s">
        <v>27</v>
      </c>
      <c r="K16">
        <v>70</v>
      </c>
      <c r="L16">
        <v>8000</v>
      </c>
      <c r="M16" t="s">
        <v>17</v>
      </c>
    </row>
    <row r="17" spans="1:13" x14ac:dyDescent="0.25">
      <c r="A17">
        <v>16</v>
      </c>
      <c r="B17" t="s">
        <v>13</v>
      </c>
      <c r="C17">
        <v>29</v>
      </c>
      <c r="D17" t="s">
        <v>18</v>
      </c>
      <c r="E17">
        <v>6</v>
      </c>
      <c r="F17">
        <v>6</v>
      </c>
      <c r="G17">
        <v>30</v>
      </c>
      <c r="H17">
        <v>8</v>
      </c>
      <c r="I17" t="s">
        <v>19</v>
      </c>
      <c r="J17" t="s">
        <v>27</v>
      </c>
      <c r="K17">
        <v>70</v>
      </c>
      <c r="L17">
        <v>8000</v>
      </c>
      <c r="M17" t="s">
        <v>17</v>
      </c>
    </row>
    <row r="18" spans="1:13" x14ac:dyDescent="0.25">
      <c r="A18">
        <v>17</v>
      </c>
      <c r="B18" t="s">
        <v>28</v>
      </c>
      <c r="C18">
        <v>29</v>
      </c>
      <c r="D18" t="s">
        <v>29</v>
      </c>
      <c r="E18">
        <v>6.5</v>
      </c>
      <c r="F18">
        <v>5</v>
      </c>
      <c r="G18">
        <v>40</v>
      </c>
      <c r="H18">
        <v>7</v>
      </c>
      <c r="I18" t="s">
        <v>30</v>
      </c>
      <c r="J18" t="s">
        <v>31</v>
      </c>
      <c r="K18">
        <v>80</v>
      </c>
      <c r="L18">
        <v>4000</v>
      </c>
      <c r="M18" t="s">
        <v>24</v>
      </c>
    </row>
    <row r="19" spans="1:13" x14ac:dyDescent="0.25">
      <c r="A19">
        <v>18</v>
      </c>
      <c r="B19" t="s">
        <v>13</v>
      </c>
      <c r="C19">
        <v>29</v>
      </c>
      <c r="D19" t="s">
        <v>18</v>
      </c>
      <c r="E19">
        <v>6</v>
      </c>
      <c r="F19">
        <v>6</v>
      </c>
      <c r="G19">
        <v>30</v>
      </c>
      <c r="H19">
        <v>8</v>
      </c>
      <c r="I19" t="s">
        <v>19</v>
      </c>
      <c r="J19" t="s">
        <v>27</v>
      </c>
      <c r="K19">
        <v>70</v>
      </c>
      <c r="L19">
        <v>8000</v>
      </c>
      <c r="M19" t="s">
        <v>24</v>
      </c>
    </row>
    <row r="20" spans="1:13" x14ac:dyDescent="0.25">
      <c r="A20">
        <v>19</v>
      </c>
      <c r="B20" t="s">
        <v>28</v>
      </c>
      <c r="C20">
        <v>29</v>
      </c>
      <c r="D20" t="s">
        <v>29</v>
      </c>
      <c r="E20">
        <v>6.5</v>
      </c>
      <c r="F20">
        <v>5</v>
      </c>
      <c r="G20">
        <v>40</v>
      </c>
      <c r="H20">
        <v>7</v>
      </c>
      <c r="I20" t="s">
        <v>30</v>
      </c>
      <c r="J20" t="s">
        <v>31</v>
      </c>
      <c r="K20">
        <v>80</v>
      </c>
      <c r="L20">
        <v>4000</v>
      </c>
      <c r="M20" t="s">
        <v>25</v>
      </c>
    </row>
    <row r="21" spans="1:13" x14ac:dyDescent="0.25">
      <c r="A21">
        <v>20</v>
      </c>
      <c r="B21" t="s">
        <v>13</v>
      </c>
      <c r="C21">
        <v>30</v>
      </c>
      <c r="D21" t="s">
        <v>18</v>
      </c>
      <c r="E21">
        <v>7.6</v>
      </c>
      <c r="F21">
        <v>7</v>
      </c>
      <c r="G21">
        <v>75</v>
      </c>
      <c r="H21">
        <v>6</v>
      </c>
      <c r="I21" t="s">
        <v>19</v>
      </c>
      <c r="J21" t="s">
        <v>27</v>
      </c>
      <c r="K21">
        <v>70</v>
      </c>
      <c r="L21">
        <v>8000</v>
      </c>
      <c r="M21" t="s">
        <v>17</v>
      </c>
    </row>
    <row r="22" spans="1:13" x14ac:dyDescent="0.25">
      <c r="A22">
        <v>21</v>
      </c>
      <c r="B22" t="s">
        <v>13</v>
      </c>
      <c r="C22">
        <v>30</v>
      </c>
      <c r="D22" t="s">
        <v>18</v>
      </c>
      <c r="E22">
        <v>7.7</v>
      </c>
      <c r="F22">
        <v>7</v>
      </c>
      <c r="G22">
        <v>75</v>
      </c>
      <c r="H22">
        <v>6</v>
      </c>
      <c r="I22" t="s">
        <v>19</v>
      </c>
      <c r="J22" t="s">
        <v>27</v>
      </c>
      <c r="K22">
        <v>70</v>
      </c>
      <c r="L22">
        <v>8000</v>
      </c>
      <c r="M22" t="s">
        <v>17</v>
      </c>
    </row>
    <row r="23" spans="1:13" x14ac:dyDescent="0.25">
      <c r="A23">
        <v>22</v>
      </c>
      <c r="B23" t="s">
        <v>13</v>
      </c>
      <c r="C23">
        <v>30</v>
      </c>
      <c r="D23" t="s">
        <v>18</v>
      </c>
      <c r="E23">
        <v>7.7</v>
      </c>
      <c r="F23">
        <v>7</v>
      </c>
      <c r="G23">
        <v>75</v>
      </c>
      <c r="H23">
        <v>6</v>
      </c>
      <c r="I23" t="s">
        <v>19</v>
      </c>
      <c r="J23" t="s">
        <v>27</v>
      </c>
      <c r="K23">
        <v>70</v>
      </c>
      <c r="L23">
        <v>8000</v>
      </c>
      <c r="M23" t="s">
        <v>17</v>
      </c>
    </row>
    <row r="24" spans="1:13" x14ac:dyDescent="0.25">
      <c r="A24">
        <v>23</v>
      </c>
      <c r="B24" t="s">
        <v>13</v>
      </c>
      <c r="C24">
        <v>30</v>
      </c>
      <c r="D24" t="s">
        <v>18</v>
      </c>
      <c r="E24">
        <v>7.7</v>
      </c>
      <c r="F24">
        <v>7</v>
      </c>
      <c r="G24">
        <v>75</v>
      </c>
      <c r="H24">
        <v>6</v>
      </c>
      <c r="I24" t="s">
        <v>19</v>
      </c>
      <c r="J24" t="s">
        <v>27</v>
      </c>
      <c r="K24">
        <v>70</v>
      </c>
      <c r="L24">
        <v>8000</v>
      </c>
      <c r="M24" t="s">
        <v>17</v>
      </c>
    </row>
    <row r="25" spans="1:13" x14ac:dyDescent="0.25">
      <c r="A25">
        <v>24</v>
      </c>
      <c r="B25" t="s">
        <v>13</v>
      </c>
      <c r="C25">
        <v>30</v>
      </c>
      <c r="D25" t="s">
        <v>18</v>
      </c>
      <c r="E25">
        <v>7.7</v>
      </c>
      <c r="F25">
        <v>7</v>
      </c>
      <c r="G25">
        <v>75</v>
      </c>
      <c r="H25">
        <v>6</v>
      </c>
      <c r="I25" t="s">
        <v>19</v>
      </c>
      <c r="J25" t="s">
        <v>27</v>
      </c>
      <c r="K25">
        <v>70</v>
      </c>
      <c r="L25">
        <v>8000</v>
      </c>
      <c r="M25" t="s">
        <v>17</v>
      </c>
    </row>
    <row r="26" spans="1:13" x14ac:dyDescent="0.25">
      <c r="A26">
        <v>25</v>
      </c>
      <c r="B26" t="s">
        <v>13</v>
      </c>
      <c r="C26">
        <v>30</v>
      </c>
      <c r="D26" t="s">
        <v>18</v>
      </c>
      <c r="E26">
        <v>7.8</v>
      </c>
      <c r="F26">
        <v>7</v>
      </c>
      <c r="G26">
        <v>75</v>
      </c>
      <c r="H26">
        <v>6</v>
      </c>
      <c r="I26" t="s">
        <v>19</v>
      </c>
      <c r="J26" t="s">
        <v>27</v>
      </c>
      <c r="K26">
        <v>70</v>
      </c>
      <c r="L26">
        <v>8000</v>
      </c>
      <c r="M26" t="s">
        <v>17</v>
      </c>
    </row>
    <row r="27" spans="1:13" x14ac:dyDescent="0.25">
      <c r="A27">
        <v>26</v>
      </c>
      <c r="B27" t="s">
        <v>13</v>
      </c>
      <c r="C27">
        <v>30</v>
      </c>
      <c r="D27" t="s">
        <v>18</v>
      </c>
      <c r="E27">
        <v>7.9</v>
      </c>
      <c r="F27">
        <v>7</v>
      </c>
      <c r="G27">
        <v>75</v>
      </c>
      <c r="H27">
        <v>6</v>
      </c>
      <c r="I27" t="s">
        <v>19</v>
      </c>
      <c r="J27" t="s">
        <v>27</v>
      </c>
      <c r="K27">
        <v>70</v>
      </c>
      <c r="L27">
        <v>8000</v>
      </c>
      <c r="M27" t="s">
        <v>17</v>
      </c>
    </row>
    <row r="28" spans="1:13" x14ac:dyDescent="0.25">
      <c r="A28">
        <v>27</v>
      </c>
      <c r="B28" t="s">
        <v>13</v>
      </c>
      <c r="C28">
        <v>30</v>
      </c>
      <c r="D28" t="s">
        <v>18</v>
      </c>
      <c r="E28">
        <v>7.8</v>
      </c>
      <c r="F28">
        <v>7</v>
      </c>
      <c r="G28">
        <v>75</v>
      </c>
      <c r="H28">
        <v>6</v>
      </c>
      <c r="I28" t="s">
        <v>19</v>
      </c>
      <c r="J28" t="s">
        <v>27</v>
      </c>
      <c r="K28">
        <v>70</v>
      </c>
      <c r="L28">
        <v>8000</v>
      </c>
      <c r="M28" t="s">
        <v>17</v>
      </c>
    </row>
    <row r="29" spans="1:13" x14ac:dyDescent="0.25">
      <c r="A29">
        <v>28</v>
      </c>
      <c r="B29" t="s">
        <v>13</v>
      </c>
      <c r="C29">
        <v>30</v>
      </c>
      <c r="D29" t="s">
        <v>18</v>
      </c>
      <c r="E29">
        <v>7.9</v>
      </c>
      <c r="F29">
        <v>7</v>
      </c>
      <c r="G29">
        <v>75</v>
      </c>
      <c r="H29">
        <v>6</v>
      </c>
      <c r="I29" t="s">
        <v>19</v>
      </c>
      <c r="J29" t="s">
        <v>27</v>
      </c>
      <c r="K29">
        <v>70</v>
      </c>
      <c r="L29">
        <v>8000</v>
      </c>
      <c r="M29" t="s">
        <v>17</v>
      </c>
    </row>
    <row r="30" spans="1:13" x14ac:dyDescent="0.25">
      <c r="A30">
        <v>29</v>
      </c>
      <c r="B30" t="s">
        <v>13</v>
      </c>
      <c r="C30">
        <v>30</v>
      </c>
      <c r="D30" t="s">
        <v>18</v>
      </c>
      <c r="E30">
        <v>7.9</v>
      </c>
      <c r="F30">
        <v>7</v>
      </c>
      <c r="G30">
        <v>75</v>
      </c>
      <c r="H30">
        <v>6</v>
      </c>
      <c r="I30" t="s">
        <v>19</v>
      </c>
      <c r="J30" t="s">
        <v>27</v>
      </c>
      <c r="K30">
        <v>70</v>
      </c>
      <c r="L30">
        <v>8000</v>
      </c>
      <c r="M30" t="s">
        <v>17</v>
      </c>
    </row>
    <row r="31" spans="1:13" x14ac:dyDescent="0.25">
      <c r="A31">
        <v>30</v>
      </c>
      <c r="B31" t="s">
        <v>13</v>
      </c>
      <c r="C31">
        <v>30</v>
      </c>
      <c r="D31" t="s">
        <v>18</v>
      </c>
      <c r="E31">
        <v>7.9</v>
      </c>
      <c r="F31">
        <v>7</v>
      </c>
      <c r="G31">
        <v>75</v>
      </c>
      <c r="H31">
        <v>6</v>
      </c>
      <c r="I31" t="s">
        <v>19</v>
      </c>
      <c r="J31" t="s">
        <v>27</v>
      </c>
      <c r="K31">
        <v>70</v>
      </c>
      <c r="L31">
        <v>8000</v>
      </c>
      <c r="M31" t="s">
        <v>17</v>
      </c>
    </row>
    <row r="32" spans="1:13" x14ac:dyDescent="0.25">
      <c r="A32">
        <v>31</v>
      </c>
      <c r="B32" t="s">
        <v>28</v>
      </c>
      <c r="C32">
        <v>30</v>
      </c>
      <c r="D32" t="s">
        <v>29</v>
      </c>
      <c r="E32">
        <v>6.4</v>
      </c>
      <c r="F32">
        <v>5</v>
      </c>
      <c r="G32">
        <v>35</v>
      </c>
      <c r="H32">
        <v>7</v>
      </c>
      <c r="I32" t="s">
        <v>30</v>
      </c>
      <c r="J32" t="s">
        <v>32</v>
      </c>
      <c r="K32">
        <v>78</v>
      </c>
      <c r="L32">
        <v>4100</v>
      </c>
      <c r="M32" t="s">
        <v>24</v>
      </c>
    </row>
    <row r="33" spans="1:13" x14ac:dyDescent="0.25">
      <c r="A33">
        <v>32</v>
      </c>
      <c r="B33" t="s">
        <v>28</v>
      </c>
      <c r="C33">
        <v>30</v>
      </c>
      <c r="D33" t="s">
        <v>29</v>
      </c>
      <c r="E33">
        <v>6.4</v>
      </c>
      <c r="F33">
        <v>5</v>
      </c>
      <c r="G33">
        <v>35</v>
      </c>
      <c r="H33">
        <v>7</v>
      </c>
      <c r="I33" t="s">
        <v>30</v>
      </c>
      <c r="J33" t="s">
        <v>32</v>
      </c>
      <c r="K33">
        <v>78</v>
      </c>
      <c r="L33">
        <v>4100</v>
      </c>
      <c r="M33" t="s">
        <v>25</v>
      </c>
    </row>
    <row r="34" spans="1:13" x14ac:dyDescent="0.25">
      <c r="A34">
        <v>33</v>
      </c>
      <c r="B34" t="s">
        <v>28</v>
      </c>
      <c r="C34">
        <v>31</v>
      </c>
      <c r="D34" t="s">
        <v>29</v>
      </c>
      <c r="E34">
        <v>7.9</v>
      </c>
      <c r="F34">
        <v>8</v>
      </c>
      <c r="G34">
        <v>75</v>
      </c>
      <c r="H34">
        <v>4</v>
      </c>
      <c r="I34" t="s">
        <v>30</v>
      </c>
      <c r="J34" t="s">
        <v>33</v>
      </c>
      <c r="K34">
        <v>69</v>
      </c>
      <c r="L34">
        <v>6800</v>
      </c>
      <c r="M34" t="s">
        <v>17</v>
      </c>
    </row>
    <row r="35" spans="1:13" x14ac:dyDescent="0.25">
      <c r="A35">
        <v>34</v>
      </c>
      <c r="B35" t="s">
        <v>13</v>
      </c>
      <c r="C35">
        <v>31</v>
      </c>
      <c r="D35" t="s">
        <v>18</v>
      </c>
      <c r="E35">
        <v>6.1</v>
      </c>
      <c r="F35">
        <v>6</v>
      </c>
      <c r="G35">
        <v>30</v>
      </c>
      <c r="H35">
        <v>8</v>
      </c>
      <c r="I35" t="s">
        <v>19</v>
      </c>
      <c r="J35" t="s">
        <v>20</v>
      </c>
      <c r="K35">
        <v>72</v>
      </c>
      <c r="L35">
        <v>5000</v>
      </c>
      <c r="M35" t="s">
        <v>17</v>
      </c>
    </row>
    <row r="36" spans="1:13" x14ac:dyDescent="0.25">
      <c r="A36">
        <v>35</v>
      </c>
      <c r="B36" t="s">
        <v>13</v>
      </c>
      <c r="C36">
        <v>31</v>
      </c>
      <c r="D36" t="s">
        <v>18</v>
      </c>
      <c r="E36">
        <v>7.7</v>
      </c>
      <c r="F36">
        <v>7</v>
      </c>
      <c r="G36">
        <v>75</v>
      </c>
      <c r="H36">
        <v>6</v>
      </c>
      <c r="I36" t="s">
        <v>19</v>
      </c>
      <c r="J36" t="s">
        <v>27</v>
      </c>
      <c r="K36">
        <v>70</v>
      </c>
      <c r="L36">
        <v>8000</v>
      </c>
      <c r="M36" t="s">
        <v>17</v>
      </c>
    </row>
    <row r="37" spans="1:13" x14ac:dyDescent="0.25">
      <c r="A37">
        <v>36</v>
      </c>
      <c r="B37" t="s">
        <v>13</v>
      </c>
      <c r="C37">
        <v>31</v>
      </c>
      <c r="D37" t="s">
        <v>18</v>
      </c>
      <c r="E37">
        <v>6.1</v>
      </c>
      <c r="F37">
        <v>6</v>
      </c>
      <c r="G37">
        <v>30</v>
      </c>
      <c r="H37">
        <v>8</v>
      </c>
      <c r="I37" t="s">
        <v>19</v>
      </c>
      <c r="J37" t="s">
        <v>20</v>
      </c>
      <c r="K37">
        <v>72</v>
      </c>
      <c r="L37">
        <v>5000</v>
      </c>
      <c r="M37" t="s">
        <v>17</v>
      </c>
    </row>
    <row r="38" spans="1:13" x14ac:dyDescent="0.25">
      <c r="A38">
        <v>37</v>
      </c>
      <c r="B38" t="s">
        <v>13</v>
      </c>
      <c r="C38">
        <v>31</v>
      </c>
      <c r="D38" t="s">
        <v>18</v>
      </c>
      <c r="E38">
        <v>6.1</v>
      </c>
      <c r="F38">
        <v>6</v>
      </c>
      <c r="G38">
        <v>30</v>
      </c>
      <c r="H38">
        <v>8</v>
      </c>
      <c r="I38" t="s">
        <v>19</v>
      </c>
      <c r="J38" t="s">
        <v>20</v>
      </c>
      <c r="K38">
        <v>72</v>
      </c>
      <c r="L38">
        <v>5000</v>
      </c>
      <c r="M38" t="s">
        <v>17</v>
      </c>
    </row>
    <row r="39" spans="1:13" x14ac:dyDescent="0.25">
      <c r="A39">
        <v>38</v>
      </c>
      <c r="B39" t="s">
        <v>13</v>
      </c>
      <c r="C39">
        <v>31</v>
      </c>
      <c r="D39" t="s">
        <v>18</v>
      </c>
      <c r="E39">
        <v>7.6</v>
      </c>
      <c r="F39">
        <v>7</v>
      </c>
      <c r="G39">
        <v>75</v>
      </c>
      <c r="H39">
        <v>6</v>
      </c>
      <c r="I39" t="s">
        <v>19</v>
      </c>
      <c r="J39" t="s">
        <v>27</v>
      </c>
      <c r="K39">
        <v>70</v>
      </c>
      <c r="L39">
        <v>8000</v>
      </c>
      <c r="M39" t="s">
        <v>17</v>
      </c>
    </row>
    <row r="40" spans="1:13" x14ac:dyDescent="0.25">
      <c r="A40">
        <v>39</v>
      </c>
      <c r="B40" t="s">
        <v>13</v>
      </c>
      <c r="C40">
        <v>31</v>
      </c>
      <c r="D40" t="s">
        <v>18</v>
      </c>
      <c r="E40">
        <v>7.6</v>
      </c>
      <c r="F40">
        <v>7</v>
      </c>
      <c r="G40">
        <v>75</v>
      </c>
      <c r="H40">
        <v>6</v>
      </c>
      <c r="I40" t="s">
        <v>19</v>
      </c>
      <c r="J40" t="s">
        <v>27</v>
      </c>
      <c r="K40">
        <v>70</v>
      </c>
      <c r="L40">
        <v>8000</v>
      </c>
      <c r="M40" t="s">
        <v>17</v>
      </c>
    </row>
    <row r="41" spans="1:13" x14ac:dyDescent="0.25">
      <c r="A41">
        <v>40</v>
      </c>
      <c r="B41" t="s">
        <v>13</v>
      </c>
      <c r="C41">
        <v>31</v>
      </c>
      <c r="D41" t="s">
        <v>18</v>
      </c>
      <c r="E41">
        <v>7.6</v>
      </c>
      <c r="F41">
        <v>7</v>
      </c>
      <c r="G41">
        <v>75</v>
      </c>
      <c r="H41">
        <v>6</v>
      </c>
      <c r="I41" t="s">
        <v>19</v>
      </c>
      <c r="J41" t="s">
        <v>27</v>
      </c>
      <c r="K41">
        <v>70</v>
      </c>
      <c r="L41">
        <v>8000</v>
      </c>
      <c r="M41" t="s">
        <v>17</v>
      </c>
    </row>
    <row r="42" spans="1:13" x14ac:dyDescent="0.25">
      <c r="A42">
        <v>41</v>
      </c>
      <c r="B42" t="s">
        <v>13</v>
      </c>
      <c r="C42">
        <v>31</v>
      </c>
      <c r="D42" t="s">
        <v>18</v>
      </c>
      <c r="E42">
        <v>7.7</v>
      </c>
      <c r="F42">
        <v>7</v>
      </c>
      <c r="G42">
        <v>75</v>
      </c>
      <c r="H42">
        <v>6</v>
      </c>
      <c r="I42" t="s">
        <v>19</v>
      </c>
      <c r="J42" t="s">
        <v>27</v>
      </c>
      <c r="K42">
        <v>70</v>
      </c>
      <c r="L42">
        <v>8000</v>
      </c>
      <c r="M42" t="s">
        <v>17</v>
      </c>
    </row>
    <row r="43" spans="1:13" x14ac:dyDescent="0.25">
      <c r="A43">
        <v>42</v>
      </c>
      <c r="B43" t="s">
        <v>13</v>
      </c>
      <c r="C43">
        <v>31</v>
      </c>
      <c r="D43" t="s">
        <v>18</v>
      </c>
      <c r="E43">
        <v>7.7</v>
      </c>
      <c r="F43">
        <v>7</v>
      </c>
      <c r="G43">
        <v>75</v>
      </c>
      <c r="H43">
        <v>6</v>
      </c>
      <c r="I43" t="s">
        <v>19</v>
      </c>
      <c r="J43" t="s">
        <v>27</v>
      </c>
      <c r="K43">
        <v>70</v>
      </c>
      <c r="L43">
        <v>8000</v>
      </c>
      <c r="M43" t="s">
        <v>17</v>
      </c>
    </row>
    <row r="44" spans="1:13" x14ac:dyDescent="0.25">
      <c r="A44">
        <v>43</v>
      </c>
      <c r="B44" t="s">
        <v>13</v>
      </c>
      <c r="C44">
        <v>31</v>
      </c>
      <c r="D44" t="s">
        <v>18</v>
      </c>
      <c r="E44">
        <v>7.7</v>
      </c>
      <c r="F44">
        <v>7</v>
      </c>
      <c r="G44">
        <v>75</v>
      </c>
      <c r="H44">
        <v>6</v>
      </c>
      <c r="I44" t="s">
        <v>19</v>
      </c>
      <c r="J44" t="s">
        <v>27</v>
      </c>
      <c r="K44">
        <v>70</v>
      </c>
      <c r="L44">
        <v>8000</v>
      </c>
      <c r="M44" t="s">
        <v>17</v>
      </c>
    </row>
    <row r="45" spans="1:13" x14ac:dyDescent="0.25">
      <c r="A45">
        <v>44</v>
      </c>
      <c r="B45" t="s">
        <v>13</v>
      </c>
      <c r="C45">
        <v>31</v>
      </c>
      <c r="D45" t="s">
        <v>18</v>
      </c>
      <c r="E45">
        <v>7.8</v>
      </c>
      <c r="F45">
        <v>7</v>
      </c>
      <c r="G45">
        <v>75</v>
      </c>
      <c r="H45">
        <v>6</v>
      </c>
      <c r="I45" t="s">
        <v>19</v>
      </c>
      <c r="J45" t="s">
        <v>27</v>
      </c>
      <c r="K45">
        <v>70</v>
      </c>
      <c r="L45">
        <v>8000</v>
      </c>
      <c r="M45" t="s">
        <v>17</v>
      </c>
    </row>
    <row r="46" spans="1:13" x14ac:dyDescent="0.25">
      <c r="A46">
        <v>45</v>
      </c>
      <c r="B46" t="s">
        <v>13</v>
      </c>
      <c r="C46">
        <v>31</v>
      </c>
      <c r="D46" t="s">
        <v>18</v>
      </c>
      <c r="E46">
        <v>7.7</v>
      </c>
      <c r="F46">
        <v>7</v>
      </c>
      <c r="G46">
        <v>75</v>
      </c>
      <c r="H46">
        <v>6</v>
      </c>
      <c r="I46" t="s">
        <v>19</v>
      </c>
      <c r="J46" t="s">
        <v>27</v>
      </c>
      <c r="K46">
        <v>70</v>
      </c>
      <c r="L46">
        <v>8000</v>
      </c>
      <c r="M46" t="s">
        <v>17</v>
      </c>
    </row>
    <row r="47" spans="1:13" x14ac:dyDescent="0.25">
      <c r="A47">
        <v>46</v>
      </c>
      <c r="B47" t="s">
        <v>13</v>
      </c>
      <c r="C47">
        <v>31</v>
      </c>
      <c r="D47" t="s">
        <v>18</v>
      </c>
      <c r="E47">
        <v>7.8</v>
      </c>
      <c r="F47">
        <v>7</v>
      </c>
      <c r="G47">
        <v>75</v>
      </c>
      <c r="H47">
        <v>6</v>
      </c>
      <c r="I47" t="s">
        <v>19</v>
      </c>
      <c r="J47" t="s">
        <v>27</v>
      </c>
      <c r="K47">
        <v>70</v>
      </c>
      <c r="L47">
        <v>8000</v>
      </c>
      <c r="M47" t="s">
        <v>17</v>
      </c>
    </row>
    <row r="48" spans="1:13" x14ac:dyDescent="0.25">
      <c r="A48">
        <v>47</v>
      </c>
      <c r="B48" t="s">
        <v>13</v>
      </c>
      <c r="C48">
        <v>31</v>
      </c>
      <c r="D48" t="s">
        <v>18</v>
      </c>
      <c r="E48">
        <v>7.7</v>
      </c>
      <c r="F48">
        <v>7</v>
      </c>
      <c r="G48">
        <v>75</v>
      </c>
      <c r="H48">
        <v>6</v>
      </c>
      <c r="I48" t="s">
        <v>19</v>
      </c>
      <c r="J48" t="s">
        <v>27</v>
      </c>
      <c r="K48">
        <v>70</v>
      </c>
      <c r="L48">
        <v>8000</v>
      </c>
      <c r="M48" t="s">
        <v>17</v>
      </c>
    </row>
    <row r="49" spans="1:13" x14ac:dyDescent="0.25">
      <c r="A49">
        <v>48</v>
      </c>
      <c r="B49" t="s">
        <v>13</v>
      </c>
      <c r="C49">
        <v>31</v>
      </c>
      <c r="D49" t="s">
        <v>18</v>
      </c>
      <c r="E49">
        <v>7.8</v>
      </c>
      <c r="F49">
        <v>7</v>
      </c>
      <c r="G49">
        <v>75</v>
      </c>
      <c r="H49">
        <v>6</v>
      </c>
      <c r="I49" t="s">
        <v>19</v>
      </c>
      <c r="J49" t="s">
        <v>27</v>
      </c>
      <c r="K49">
        <v>70</v>
      </c>
      <c r="L49">
        <v>8000</v>
      </c>
      <c r="M49" t="s">
        <v>17</v>
      </c>
    </row>
    <row r="50" spans="1:13" x14ac:dyDescent="0.25">
      <c r="A50">
        <v>49</v>
      </c>
      <c r="B50" t="s">
        <v>13</v>
      </c>
      <c r="C50">
        <v>31</v>
      </c>
      <c r="D50" t="s">
        <v>18</v>
      </c>
      <c r="E50">
        <v>7.7</v>
      </c>
      <c r="F50">
        <v>7</v>
      </c>
      <c r="G50">
        <v>75</v>
      </c>
      <c r="H50">
        <v>6</v>
      </c>
      <c r="I50" t="s">
        <v>19</v>
      </c>
      <c r="J50" t="s">
        <v>27</v>
      </c>
      <c r="K50">
        <v>70</v>
      </c>
      <c r="L50">
        <v>8000</v>
      </c>
      <c r="M50" t="s">
        <v>17</v>
      </c>
    </row>
    <row r="51" spans="1:13" x14ac:dyDescent="0.25">
      <c r="A51">
        <v>50</v>
      </c>
      <c r="B51" t="s">
        <v>13</v>
      </c>
      <c r="C51">
        <v>31</v>
      </c>
      <c r="D51" t="s">
        <v>18</v>
      </c>
      <c r="E51">
        <v>7.7</v>
      </c>
      <c r="F51">
        <v>7</v>
      </c>
      <c r="G51">
        <v>75</v>
      </c>
      <c r="H51">
        <v>6</v>
      </c>
      <c r="I51" t="s">
        <v>19</v>
      </c>
      <c r="J51" t="s">
        <v>27</v>
      </c>
      <c r="K51">
        <v>70</v>
      </c>
      <c r="L51">
        <v>8000</v>
      </c>
      <c r="M51" t="s">
        <v>24</v>
      </c>
    </row>
    <row r="52" spans="1:13" x14ac:dyDescent="0.25">
      <c r="A52">
        <v>51</v>
      </c>
      <c r="B52" t="s">
        <v>13</v>
      </c>
      <c r="C52">
        <v>32</v>
      </c>
      <c r="D52" t="s">
        <v>34</v>
      </c>
      <c r="E52">
        <v>7.5</v>
      </c>
      <c r="F52">
        <v>8</v>
      </c>
      <c r="G52">
        <v>45</v>
      </c>
      <c r="H52">
        <v>3</v>
      </c>
      <c r="I52" t="s">
        <v>19</v>
      </c>
      <c r="J52" t="s">
        <v>27</v>
      </c>
      <c r="K52">
        <v>70</v>
      </c>
      <c r="L52">
        <v>8000</v>
      </c>
      <c r="M52" t="s">
        <v>17</v>
      </c>
    </row>
    <row r="53" spans="1:13" x14ac:dyDescent="0.25">
      <c r="A53">
        <v>52</v>
      </c>
      <c r="B53" t="s">
        <v>13</v>
      </c>
      <c r="C53">
        <v>32</v>
      </c>
      <c r="D53" t="s">
        <v>34</v>
      </c>
      <c r="E53">
        <v>7.5</v>
      </c>
      <c r="F53">
        <v>8</v>
      </c>
      <c r="G53">
        <v>45</v>
      </c>
      <c r="H53">
        <v>3</v>
      </c>
      <c r="I53" t="s">
        <v>19</v>
      </c>
      <c r="J53" t="s">
        <v>27</v>
      </c>
      <c r="K53">
        <v>70</v>
      </c>
      <c r="L53">
        <v>8000</v>
      </c>
      <c r="M53" t="s">
        <v>17</v>
      </c>
    </row>
    <row r="54" spans="1:13" x14ac:dyDescent="0.25">
      <c r="A54">
        <v>53</v>
      </c>
      <c r="B54" t="s">
        <v>13</v>
      </c>
      <c r="C54">
        <v>32</v>
      </c>
      <c r="D54" t="s">
        <v>18</v>
      </c>
      <c r="E54">
        <v>6</v>
      </c>
      <c r="F54">
        <v>6</v>
      </c>
      <c r="G54">
        <v>30</v>
      </c>
      <c r="H54">
        <v>8</v>
      </c>
      <c r="I54" t="s">
        <v>19</v>
      </c>
      <c r="J54" t="s">
        <v>20</v>
      </c>
      <c r="K54">
        <v>72</v>
      </c>
      <c r="L54">
        <v>5000</v>
      </c>
      <c r="M54" t="s">
        <v>17</v>
      </c>
    </row>
    <row r="55" spans="1:13" x14ac:dyDescent="0.25">
      <c r="A55">
        <v>54</v>
      </c>
      <c r="B55" t="s">
        <v>13</v>
      </c>
      <c r="C55">
        <v>32</v>
      </c>
      <c r="D55" t="s">
        <v>18</v>
      </c>
      <c r="E55">
        <v>7.6</v>
      </c>
      <c r="F55">
        <v>7</v>
      </c>
      <c r="G55">
        <v>75</v>
      </c>
      <c r="H55">
        <v>6</v>
      </c>
      <c r="I55" t="s">
        <v>19</v>
      </c>
      <c r="J55" t="s">
        <v>27</v>
      </c>
      <c r="K55">
        <v>70</v>
      </c>
      <c r="L55">
        <v>8000</v>
      </c>
      <c r="M55" t="s">
        <v>17</v>
      </c>
    </row>
    <row r="56" spans="1:13" x14ac:dyDescent="0.25">
      <c r="A56">
        <v>55</v>
      </c>
      <c r="B56" t="s">
        <v>13</v>
      </c>
      <c r="C56">
        <v>32</v>
      </c>
      <c r="D56" t="s">
        <v>18</v>
      </c>
      <c r="E56">
        <v>6</v>
      </c>
      <c r="F56">
        <v>6</v>
      </c>
      <c r="G56">
        <v>30</v>
      </c>
      <c r="H56">
        <v>8</v>
      </c>
      <c r="I56" t="s">
        <v>19</v>
      </c>
      <c r="J56" t="s">
        <v>20</v>
      </c>
      <c r="K56">
        <v>72</v>
      </c>
      <c r="L56">
        <v>5000</v>
      </c>
      <c r="M56" t="s">
        <v>17</v>
      </c>
    </row>
    <row r="57" spans="1:13" x14ac:dyDescent="0.25">
      <c r="A57">
        <v>56</v>
      </c>
      <c r="B57" t="s">
        <v>13</v>
      </c>
      <c r="C57">
        <v>32</v>
      </c>
      <c r="D57" t="s">
        <v>18</v>
      </c>
      <c r="E57">
        <v>6</v>
      </c>
      <c r="F57">
        <v>6</v>
      </c>
      <c r="G57">
        <v>30</v>
      </c>
      <c r="H57">
        <v>8</v>
      </c>
      <c r="I57" t="s">
        <v>19</v>
      </c>
      <c r="J57" t="s">
        <v>20</v>
      </c>
      <c r="K57">
        <v>72</v>
      </c>
      <c r="L57">
        <v>5000</v>
      </c>
      <c r="M57" t="s">
        <v>17</v>
      </c>
    </row>
    <row r="58" spans="1:13" x14ac:dyDescent="0.25">
      <c r="A58">
        <v>57</v>
      </c>
      <c r="B58" t="s">
        <v>13</v>
      </c>
      <c r="C58">
        <v>32</v>
      </c>
      <c r="D58" t="s">
        <v>18</v>
      </c>
      <c r="E58">
        <v>7.7</v>
      </c>
      <c r="F58">
        <v>7</v>
      </c>
      <c r="G58">
        <v>75</v>
      </c>
      <c r="H58">
        <v>6</v>
      </c>
      <c r="I58" t="s">
        <v>19</v>
      </c>
      <c r="J58" t="s">
        <v>27</v>
      </c>
      <c r="K58">
        <v>70</v>
      </c>
      <c r="L58">
        <v>8000</v>
      </c>
      <c r="M58" t="s">
        <v>17</v>
      </c>
    </row>
    <row r="59" spans="1:13" x14ac:dyDescent="0.25">
      <c r="A59">
        <v>58</v>
      </c>
      <c r="B59" t="s">
        <v>13</v>
      </c>
      <c r="C59">
        <v>32</v>
      </c>
      <c r="D59" t="s">
        <v>18</v>
      </c>
      <c r="E59">
        <v>6</v>
      </c>
      <c r="F59">
        <v>6</v>
      </c>
      <c r="G59">
        <v>30</v>
      </c>
      <c r="H59">
        <v>8</v>
      </c>
      <c r="I59" t="s">
        <v>19</v>
      </c>
      <c r="J59" t="s">
        <v>20</v>
      </c>
      <c r="K59">
        <v>72</v>
      </c>
      <c r="L59">
        <v>5000</v>
      </c>
      <c r="M59" t="s">
        <v>17</v>
      </c>
    </row>
    <row r="60" spans="1:13" x14ac:dyDescent="0.25">
      <c r="A60">
        <v>59</v>
      </c>
      <c r="B60" t="s">
        <v>13</v>
      </c>
      <c r="C60">
        <v>32</v>
      </c>
      <c r="D60" t="s">
        <v>18</v>
      </c>
      <c r="E60">
        <v>6</v>
      </c>
      <c r="F60">
        <v>6</v>
      </c>
      <c r="G60">
        <v>30</v>
      </c>
      <c r="H60">
        <v>8</v>
      </c>
      <c r="I60" t="s">
        <v>19</v>
      </c>
      <c r="J60" t="s">
        <v>20</v>
      </c>
      <c r="K60">
        <v>72</v>
      </c>
      <c r="L60">
        <v>5000</v>
      </c>
      <c r="M60" t="s">
        <v>17</v>
      </c>
    </row>
    <row r="61" spans="1:13" x14ac:dyDescent="0.25">
      <c r="A61">
        <v>60</v>
      </c>
      <c r="B61" t="s">
        <v>13</v>
      </c>
      <c r="C61">
        <v>32</v>
      </c>
      <c r="D61" t="s">
        <v>18</v>
      </c>
      <c r="E61">
        <v>7.7</v>
      </c>
      <c r="F61">
        <v>7</v>
      </c>
      <c r="G61">
        <v>75</v>
      </c>
      <c r="H61">
        <v>6</v>
      </c>
      <c r="I61" t="s">
        <v>19</v>
      </c>
      <c r="J61" t="s">
        <v>27</v>
      </c>
      <c r="K61">
        <v>70</v>
      </c>
      <c r="L61">
        <v>8000</v>
      </c>
      <c r="M61" t="s">
        <v>17</v>
      </c>
    </row>
    <row r="62" spans="1:13" x14ac:dyDescent="0.25">
      <c r="A62">
        <v>61</v>
      </c>
      <c r="B62" t="s">
        <v>13</v>
      </c>
      <c r="C62">
        <v>32</v>
      </c>
      <c r="D62" t="s">
        <v>18</v>
      </c>
      <c r="E62">
        <v>6</v>
      </c>
      <c r="F62">
        <v>6</v>
      </c>
      <c r="G62">
        <v>30</v>
      </c>
      <c r="H62">
        <v>8</v>
      </c>
      <c r="I62" t="s">
        <v>19</v>
      </c>
      <c r="J62" t="s">
        <v>20</v>
      </c>
      <c r="K62">
        <v>72</v>
      </c>
      <c r="L62">
        <v>5000</v>
      </c>
      <c r="M62" t="s">
        <v>17</v>
      </c>
    </row>
    <row r="63" spans="1:13" x14ac:dyDescent="0.25">
      <c r="A63">
        <v>62</v>
      </c>
      <c r="B63" t="s">
        <v>13</v>
      </c>
      <c r="C63">
        <v>32</v>
      </c>
      <c r="D63" t="s">
        <v>18</v>
      </c>
      <c r="E63">
        <v>6</v>
      </c>
      <c r="F63">
        <v>6</v>
      </c>
      <c r="G63">
        <v>30</v>
      </c>
      <c r="H63">
        <v>8</v>
      </c>
      <c r="I63" t="s">
        <v>19</v>
      </c>
      <c r="J63" t="s">
        <v>20</v>
      </c>
      <c r="K63">
        <v>72</v>
      </c>
      <c r="L63">
        <v>5000</v>
      </c>
      <c r="M63" t="s">
        <v>17</v>
      </c>
    </row>
    <row r="64" spans="1:13" x14ac:dyDescent="0.25">
      <c r="A64">
        <v>63</v>
      </c>
      <c r="B64" t="s">
        <v>13</v>
      </c>
      <c r="C64">
        <v>32</v>
      </c>
      <c r="D64" t="s">
        <v>18</v>
      </c>
      <c r="E64">
        <v>6.2</v>
      </c>
      <c r="F64">
        <v>6</v>
      </c>
      <c r="G64">
        <v>30</v>
      </c>
      <c r="H64">
        <v>8</v>
      </c>
      <c r="I64" t="s">
        <v>19</v>
      </c>
      <c r="J64" t="s">
        <v>20</v>
      </c>
      <c r="K64">
        <v>72</v>
      </c>
      <c r="L64">
        <v>5000</v>
      </c>
      <c r="M64" t="s">
        <v>17</v>
      </c>
    </row>
    <row r="65" spans="1:13" x14ac:dyDescent="0.25">
      <c r="A65">
        <v>64</v>
      </c>
      <c r="B65" t="s">
        <v>13</v>
      </c>
      <c r="C65">
        <v>32</v>
      </c>
      <c r="D65" t="s">
        <v>18</v>
      </c>
      <c r="E65">
        <v>6.2</v>
      </c>
      <c r="F65">
        <v>6</v>
      </c>
      <c r="G65">
        <v>30</v>
      </c>
      <c r="H65">
        <v>8</v>
      </c>
      <c r="I65" t="s">
        <v>19</v>
      </c>
      <c r="J65" t="s">
        <v>20</v>
      </c>
      <c r="K65">
        <v>72</v>
      </c>
      <c r="L65">
        <v>5000</v>
      </c>
      <c r="M65" t="s">
        <v>17</v>
      </c>
    </row>
    <row r="66" spans="1:13" x14ac:dyDescent="0.25">
      <c r="A66">
        <v>65</v>
      </c>
      <c r="B66" t="s">
        <v>13</v>
      </c>
      <c r="C66">
        <v>32</v>
      </c>
      <c r="D66" t="s">
        <v>18</v>
      </c>
      <c r="E66">
        <v>6.2</v>
      </c>
      <c r="F66">
        <v>6</v>
      </c>
      <c r="G66">
        <v>30</v>
      </c>
      <c r="H66">
        <v>8</v>
      </c>
      <c r="I66" t="s">
        <v>19</v>
      </c>
      <c r="J66" t="s">
        <v>20</v>
      </c>
      <c r="K66">
        <v>72</v>
      </c>
      <c r="L66">
        <v>5000</v>
      </c>
      <c r="M66" t="s">
        <v>17</v>
      </c>
    </row>
    <row r="67" spans="1:13" x14ac:dyDescent="0.25">
      <c r="A67">
        <v>66</v>
      </c>
      <c r="B67" t="s">
        <v>13</v>
      </c>
      <c r="C67">
        <v>32</v>
      </c>
      <c r="D67" t="s">
        <v>18</v>
      </c>
      <c r="E67">
        <v>6.2</v>
      </c>
      <c r="F67">
        <v>6</v>
      </c>
      <c r="G67">
        <v>30</v>
      </c>
      <c r="H67">
        <v>8</v>
      </c>
      <c r="I67" t="s">
        <v>19</v>
      </c>
      <c r="J67" t="s">
        <v>20</v>
      </c>
      <c r="K67">
        <v>72</v>
      </c>
      <c r="L67">
        <v>5000</v>
      </c>
      <c r="M67" t="s">
        <v>17</v>
      </c>
    </row>
    <row r="68" spans="1:13" x14ac:dyDescent="0.25">
      <c r="A68">
        <v>67</v>
      </c>
      <c r="B68" t="s">
        <v>13</v>
      </c>
      <c r="C68">
        <v>32</v>
      </c>
      <c r="D68" t="s">
        <v>35</v>
      </c>
      <c r="E68">
        <v>7.2</v>
      </c>
      <c r="F68">
        <v>8</v>
      </c>
      <c r="G68">
        <v>50</v>
      </c>
      <c r="H68">
        <v>6</v>
      </c>
      <c r="I68" t="s">
        <v>30</v>
      </c>
      <c r="J68" t="s">
        <v>36</v>
      </c>
      <c r="K68">
        <v>68</v>
      </c>
      <c r="L68">
        <v>7000</v>
      </c>
      <c r="M68" t="s">
        <v>17</v>
      </c>
    </row>
    <row r="69" spans="1:13" x14ac:dyDescent="0.25">
      <c r="A69">
        <v>68</v>
      </c>
      <c r="B69" t="s">
        <v>13</v>
      </c>
      <c r="C69">
        <v>33</v>
      </c>
      <c r="D69" t="s">
        <v>18</v>
      </c>
      <c r="E69">
        <v>6</v>
      </c>
      <c r="F69">
        <v>6</v>
      </c>
      <c r="G69">
        <v>30</v>
      </c>
      <c r="H69">
        <v>8</v>
      </c>
      <c r="I69" t="s">
        <v>19</v>
      </c>
      <c r="J69" t="s">
        <v>20</v>
      </c>
      <c r="K69">
        <v>72</v>
      </c>
      <c r="L69">
        <v>5000</v>
      </c>
      <c r="M69" t="s">
        <v>25</v>
      </c>
    </row>
    <row r="70" spans="1:13" x14ac:dyDescent="0.25">
      <c r="A70">
        <v>69</v>
      </c>
      <c r="B70" t="s">
        <v>28</v>
      </c>
      <c r="C70">
        <v>33</v>
      </c>
      <c r="D70" t="s">
        <v>37</v>
      </c>
      <c r="E70">
        <v>6.2</v>
      </c>
      <c r="F70">
        <v>6</v>
      </c>
      <c r="G70">
        <v>50</v>
      </c>
      <c r="H70">
        <v>6</v>
      </c>
      <c r="I70" t="s">
        <v>15</v>
      </c>
      <c r="J70" t="s">
        <v>38</v>
      </c>
      <c r="K70">
        <v>76</v>
      </c>
      <c r="L70">
        <v>5500</v>
      </c>
      <c r="M70" t="s">
        <v>17</v>
      </c>
    </row>
    <row r="71" spans="1:13" x14ac:dyDescent="0.25">
      <c r="A71">
        <v>70</v>
      </c>
      <c r="B71" t="s">
        <v>28</v>
      </c>
      <c r="C71">
        <v>33</v>
      </c>
      <c r="D71" t="s">
        <v>37</v>
      </c>
      <c r="E71">
        <v>6.2</v>
      </c>
      <c r="F71">
        <v>6</v>
      </c>
      <c r="G71">
        <v>50</v>
      </c>
      <c r="H71">
        <v>6</v>
      </c>
      <c r="I71" t="s">
        <v>15</v>
      </c>
      <c r="J71" t="s">
        <v>38</v>
      </c>
      <c r="K71">
        <v>76</v>
      </c>
      <c r="L71">
        <v>5500</v>
      </c>
      <c r="M71" t="s">
        <v>17</v>
      </c>
    </row>
    <row r="72" spans="1:13" x14ac:dyDescent="0.25">
      <c r="A72">
        <v>71</v>
      </c>
      <c r="B72" t="s">
        <v>13</v>
      </c>
      <c r="C72">
        <v>33</v>
      </c>
      <c r="D72" t="s">
        <v>18</v>
      </c>
      <c r="E72">
        <v>6.1</v>
      </c>
      <c r="F72">
        <v>6</v>
      </c>
      <c r="G72">
        <v>30</v>
      </c>
      <c r="H72">
        <v>8</v>
      </c>
      <c r="I72" t="s">
        <v>19</v>
      </c>
      <c r="J72" t="s">
        <v>20</v>
      </c>
      <c r="K72">
        <v>72</v>
      </c>
      <c r="L72">
        <v>5000</v>
      </c>
      <c r="M72" t="s">
        <v>17</v>
      </c>
    </row>
    <row r="73" spans="1:13" x14ac:dyDescent="0.25">
      <c r="A73">
        <v>72</v>
      </c>
      <c r="B73" t="s">
        <v>13</v>
      </c>
      <c r="C73">
        <v>33</v>
      </c>
      <c r="D73" t="s">
        <v>18</v>
      </c>
      <c r="E73">
        <v>6.1</v>
      </c>
      <c r="F73">
        <v>6</v>
      </c>
      <c r="G73">
        <v>30</v>
      </c>
      <c r="H73">
        <v>8</v>
      </c>
      <c r="I73" t="s">
        <v>19</v>
      </c>
      <c r="J73" t="s">
        <v>20</v>
      </c>
      <c r="K73">
        <v>72</v>
      </c>
      <c r="L73">
        <v>5000</v>
      </c>
      <c r="M73" t="s">
        <v>17</v>
      </c>
    </row>
    <row r="74" spans="1:13" x14ac:dyDescent="0.25">
      <c r="A74">
        <v>73</v>
      </c>
      <c r="B74" t="s">
        <v>13</v>
      </c>
      <c r="C74">
        <v>33</v>
      </c>
      <c r="D74" t="s">
        <v>18</v>
      </c>
      <c r="E74">
        <v>6.1</v>
      </c>
      <c r="F74">
        <v>6</v>
      </c>
      <c r="G74">
        <v>30</v>
      </c>
      <c r="H74">
        <v>8</v>
      </c>
      <c r="I74" t="s">
        <v>19</v>
      </c>
      <c r="J74" t="s">
        <v>20</v>
      </c>
      <c r="K74">
        <v>72</v>
      </c>
      <c r="L74">
        <v>5000</v>
      </c>
      <c r="M74" t="s">
        <v>17</v>
      </c>
    </row>
    <row r="75" spans="1:13" x14ac:dyDescent="0.25">
      <c r="A75">
        <v>74</v>
      </c>
      <c r="B75" t="s">
        <v>13</v>
      </c>
      <c r="C75">
        <v>33</v>
      </c>
      <c r="D75" t="s">
        <v>18</v>
      </c>
      <c r="E75">
        <v>6.1</v>
      </c>
      <c r="F75">
        <v>6</v>
      </c>
      <c r="G75">
        <v>30</v>
      </c>
      <c r="H75">
        <v>8</v>
      </c>
      <c r="I75" t="s">
        <v>19</v>
      </c>
      <c r="J75" t="s">
        <v>20</v>
      </c>
      <c r="K75">
        <v>72</v>
      </c>
      <c r="L75">
        <v>5000</v>
      </c>
      <c r="M75" t="s">
        <v>17</v>
      </c>
    </row>
    <row r="76" spans="1:13" x14ac:dyDescent="0.25">
      <c r="A76">
        <v>75</v>
      </c>
      <c r="B76" t="s">
        <v>13</v>
      </c>
      <c r="C76">
        <v>33</v>
      </c>
      <c r="D76" t="s">
        <v>18</v>
      </c>
      <c r="E76">
        <v>6</v>
      </c>
      <c r="F76">
        <v>6</v>
      </c>
      <c r="G76">
        <v>30</v>
      </c>
      <c r="H76">
        <v>8</v>
      </c>
      <c r="I76" t="s">
        <v>19</v>
      </c>
      <c r="J76" t="s">
        <v>20</v>
      </c>
      <c r="K76">
        <v>72</v>
      </c>
      <c r="L76">
        <v>5000</v>
      </c>
      <c r="M76" t="s">
        <v>17</v>
      </c>
    </row>
    <row r="77" spans="1:13" x14ac:dyDescent="0.25">
      <c r="A77">
        <v>76</v>
      </c>
      <c r="B77" t="s">
        <v>13</v>
      </c>
      <c r="C77">
        <v>33</v>
      </c>
      <c r="D77" t="s">
        <v>18</v>
      </c>
      <c r="E77">
        <v>6</v>
      </c>
      <c r="F77">
        <v>6</v>
      </c>
      <c r="G77">
        <v>30</v>
      </c>
      <c r="H77">
        <v>8</v>
      </c>
      <c r="I77" t="s">
        <v>19</v>
      </c>
      <c r="J77" t="s">
        <v>20</v>
      </c>
      <c r="K77">
        <v>72</v>
      </c>
      <c r="L77">
        <v>5000</v>
      </c>
      <c r="M77" t="s">
        <v>17</v>
      </c>
    </row>
    <row r="78" spans="1:13" x14ac:dyDescent="0.25">
      <c r="A78">
        <v>77</v>
      </c>
      <c r="B78" t="s">
        <v>13</v>
      </c>
      <c r="C78">
        <v>33</v>
      </c>
      <c r="D78" t="s">
        <v>18</v>
      </c>
      <c r="E78">
        <v>6</v>
      </c>
      <c r="F78">
        <v>6</v>
      </c>
      <c r="G78">
        <v>30</v>
      </c>
      <c r="H78">
        <v>8</v>
      </c>
      <c r="I78" t="s">
        <v>19</v>
      </c>
      <c r="J78" t="s">
        <v>20</v>
      </c>
      <c r="K78">
        <v>72</v>
      </c>
      <c r="L78">
        <v>5000</v>
      </c>
      <c r="M78" t="s">
        <v>17</v>
      </c>
    </row>
    <row r="79" spans="1:13" x14ac:dyDescent="0.25">
      <c r="A79">
        <v>78</v>
      </c>
      <c r="B79" t="s">
        <v>13</v>
      </c>
      <c r="C79">
        <v>33</v>
      </c>
      <c r="D79" t="s">
        <v>18</v>
      </c>
      <c r="E79">
        <v>6</v>
      </c>
      <c r="F79">
        <v>6</v>
      </c>
      <c r="G79">
        <v>30</v>
      </c>
      <c r="H79">
        <v>8</v>
      </c>
      <c r="I79" t="s">
        <v>19</v>
      </c>
      <c r="J79" t="s">
        <v>20</v>
      </c>
      <c r="K79">
        <v>72</v>
      </c>
      <c r="L79">
        <v>5000</v>
      </c>
      <c r="M79" t="s">
        <v>17</v>
      </c>
    </row>
    <row r="80" spans="1:13" x14ac:dyDescent="0.25">
      <c r="A80">
        <v>79</v>
      </c>
      <c r="B80" t="s">
        <v>13</v>
      </c>
      <c r="C80">
        <v>33</v>
      </c>
      <c r="D80" t="s">
        <v>18</v>
      </c>
      <c r="E80">
        <v>6</v>
      </c>
      <c r="F80">
        <v>6</v>
      </c>
      <c r="G80">
        <v>30</v>
      </c>
      <c r="H80">
        <v>8</v>
      </c>
      <c r="I80" t="s">
        <v>19</v>
      </c>
      <c r="J80" t="s">
        <v>20</v>
      </c>
      <c r="K80">
        <v>72</v>
      </c>
      <c r="L80">
        <v>5000</v>
      </c>
      <c r="M80" t="s">
        <v>17</v>
      </c>
    </row>
    <row r="81" spans="1:13" x14ac:dyDescent="0.25">
      <c r="A81">
        <v>80</v>
      </c>
      <c r="B81" t="s">
        <v>13</v>
      </c>
      <c r="C81">
        <v>33</v>
      </c>
      <c r="D81" t="s">
        <v>18</v>
      </c>
      <c r="E81">
        <v>6</v>
      </c>
      <c r="F81">
        <v>6</v>
      </c>
      <c r="G81">
        <v>30</v>
      </c>
      <c r="H81">
        <v>8</v>
      </c>
      <c r="I81" t="s">
        <v>19</v>
      </c>
      <c r="J81" t="s">
        <v>20</v>
      </c>
      <c r="K81">
        <v>72</v>
      </c>
      <c r="L81">
        <v>5000</v>
      </c>
      <c r="M81" t="s">
        <v>17</v>
      </c>
    </row>
    <row r="82" spans="1:13" x14ac:dyDescent="0.25">
      <c r="A82">
        <v>81</v>
      </c>
      <c r="B82" t="s">
        <v>28</v>
      </c>
      <c r="C82">
        <v>34</v>
      </c>
      <c r="D82" t="s">
        <v>37</v>
      </c>
      <c r="E82">
        <v>5.8</v>
      </c>
      <c r="F82">
        <v>4</v>
      </c>
      <c r="G82">
        <v>32</v>
      </c>
      <c r="H82">
        <v>8</v>
      </c>
      <c r="I82" t="s">
        <v>15</v>
      </c>
      <c r="J82" t="s">
        <v>39</v>
      </c>
      <c r="K82">
        <v>81</v>
      </c>
      <c r="L82">
        <v>5200</v>
      </c>
      <c r="M82" t="s">
        <v>24</v>
      </c>
    </row>
    <row r="83" spans="1:13" x14ac:dyDescent="0.25">
      <c r="A83">
        <v>82</v>
      </c>
      <c r="B83" t="s">
        <v>28</v>
      </c>
      <c r="C83">
        <v>34</v>
      </c>
      <c r="D83" t="s">
        <v>37</v>
      </c>
      <c r="E83">
        <v>5.8</v>
      </c>
      <c r="F83">
        <v>4</v>
      </c>
      <c r="G83">
        <v>32</v>
      </c>
      <c r="H83">
        <v>8</v>
      </c>
      <c r="I83" t="s">
        <v>15</v>
      </c>
      <c r="J83" t="s">
        <v>39</v>
      </c>
      <c r="K83">
        <v>81</v>
      </c>
      <c r="L83">
        <v>5200</v>
      </c>
      <c r="M83" t="s">
        <v>24</v>
      </c>
    </row>
    <row r="84" spans="1:13" x14ac:dyDescent="0.25">
      <c r="A84">
        <v>83</v>
      </c>
      <c r="B84" t="s">
        <v>13</v>
      </c>
      <c r="C84">
        <v>35</v>
      </c>
      <c r="D84" t="s">
        <v>26</v>
      </c>
      <c r="E84">
        <v>6.7</v>
      </c>
      <c r="F84">
        <v>7</v>
      </c>
      <c r="G84">
        <v>40</v>
      </c>
      <c r="H84">
        <v>5</v>
      </c>
      <c r="I84" t="s">
        <v>15</v>
      </c>
      <c r="J84" t="s">
        <v>40</v>
      </c>
      <c r="K84">
        <v>70</v>
      </c>
      <c r="L84">
        <v>5600</v>
      </c>
      <c r="M84" t="s">
        <v>17</v>
      </c>
    </row>
    <row r="85" spans="1:13" x14ac:dyDescent="0.25">
      <c r="A85">
        <v>84</v>
      </c>
      <c r="B85" t="s">
        <v>13</v>
      </c>
      <c r="C85">
        <v>35</v>
      </c>
      <c r="D85" t="s">
        <v>26</v>
      </c>
      <c r="E85">
        <v>6.7</v>
      </c>
      <c r="F85">
        <v>7</v>
      </c>
      <c r="G85">
        <v>40</v>
      </c>
      <c r="H85">
        <v>5</v>
      </c>
      <c r="I85" t="s">
        <v>15</v>
      </c>
      <c r="J85" t="s">
        <v>40</v>
      </c>
      <c r="K85">
        <v>70</v>
      </c>
      <c r="L85">
        <v>5600</v>
      </c>
      <c r="M85" t="s">
        <v>17</v>
      </c>
    </row>
    <row r="86" spans="1:13" x14ac:dyDescent="0.25">
      <c r="A86">
        <v>85</v>
      </c>
      <c r="B86" t="s">
        <v>13</v>
      </c>
      <c r="C86">
        <v>35</v>
      </c>
      <c r="D86" t="s">
        <v>14</v>
      </c>
      <c r="E86">
        <v>7.5</v>
      </c>
      <c r="F86">
        <v>8</v>
      </c>
      <c r="G86">
        <v>60</v>
      </c>
      <c r="H86">
        <v>5</v>
      </c>
      <c r="I86" t="s">
        <v>30</v>
      </c>
      <c r="J86" t="s">
        <v>27</v>
      </c>
      <c r="K86">
        <v>70</v>
      </c>
      <c r="L86">
        <v>8000</v>
      </c>
      <c r="M86" t="s">
        <v>17</v>
      </c>
    </row>
    <row r="87" spans="1:13" x14ac:dyDescent="0.25">
      <c r="A87">
        <v>86</v>
      </c>
      <c r="B87" t="s">
        <v>28</v>
      </c>
      <c r="C87">
        <v>35</v>
      </c>
      <c r="D87" t="s">
        <v>35</v>
      </c>
      <c r="E87">
        <v>7.2</v>
      </c>
      <c r="F87">
        <v>8</v>
      </c>
      <c r="G87">
        <v>60</v>
      </c>
      <c r="H87">
        <v>4</v>
      </c>
      <c r="I87" t="s">
        <v>19</v>
      </c>
      <c r="J87" t="s">
        <v>41</v>
      </c>
      <c r="K87">
        <v>68</v>
      </c>
      <c r="L87">
        <v>7000</v>
      </c>
      <c r="M87" t="s">
        <v>17</v>
      </c>
    </row>
    <row r="88" spans="1:13" x14ac:dyDescent="0.25">
      <c r="A88">
        <v>87</v>
      </c>
      <c r="B88" t="s">
        <v>13</v>
      </c>
      <c r="C88">
        <v>35</v>
      </c>
      <c r="D88" t="s">
        <v>34</v>
      </c>
      <c r="E88">
        <v>7.2</v>
      </c>
      <c r="F88">
        <v>8</v>
      </c>
      <c r="G88">
        <v>60</v>
      </c>
      <c r="H88">
        <v>4</v>
      </c>
      <c r="I88" t="s">
        <v>19</v>
      </c>
      <c r="J88" t="s">
        <v>20</v>
      </c>
      <c r="K88">
        <v>65</v>
      </c>
      <c r="L88">
        <v>5000</v>
      </c>
      <c r="M88" t="s">
        <v>17</v>
      </c>
    </row>
    <row r="89" spans="1:13" x14ac:dyDescent="0.25">
      <c r="A89">
        <v>88</v>
      </c>
      <c r="B89" t="s">
        <v>13</v>
      </c>
      <c r="C89">
        <v>35</v>
      </c>
      <c r="D89" t="s">
        <v>34</v>
      </c>
      <c r="E89">
        <v>7.2</v>
      </c>
      <c r="F89">
        <v>8</v>
      </c>
      <c r="G89">
        <v>60</v>
      </c>
      <c r="H89">
        <v>4</v>
      </c>
      <c r="I89" t="s">
        <v>19</v>
      </c>
      <c r="J89" t="s">
        <v>20</v>
      </c>
      <c r="K89">
        <v>65</v>
      </c>
      <c r="L89">
        <v>5000</v>
      </c>
      <c r="M89" t="s">
        <v>17</v>
      </c>
    </row>
    <row r="90" spans="1:13" x14ac:dyDescent="0.25">
      <c r="A90">
        <v>89</v>
      </c>
      <c r="B90" t="s">
        <v>13</v>
      </c>
      <c r="C90">
        <v>35</v>
      </c>
      <c r="D90" t="s">
        <v>34</v>
      </c>
      <c r="E90">
        <v>7.3</v>
      </c>
      <c r="F90">
        <v>8</v>
      </c>
      <c r="G90">
        <v>60</v>
      </c>
      <c r="H90">
        <v>4</v>
      </c>
      <c r="I90" t="s">
        <v>19</v>
      </c>
      <c r="J90" t="s">
        <v>20</v>
      </c>
      <c r="K90">
        <v>65</v>
      </c>
      <c r="L90">
        <v>5000</v>
      </c>
      <c r="M90" t="s">
        <v>17</v>
      </c>
    </row>
    <row r="91" spans="1:13" x14ac:dyDescent="0.25">
      <c r="A91">
        <v>90</v>
      </c>
      <c r="B91" t="s">
        <v>13</v>
      </c>
      <c r="C91">
        <v>35</v>
      </c>
      <c r="D91" t="s">
        <v>34</v>
      </c>
      <c r="E91">
        <v>7.3</v>
      </c>
      <c r="F91">
        <v>8</v>
      </c>
      <c r="G91">
        <v>60</v>
      </c>
      <c r="H91">
        <v>4</v>
      </c>
      <c r="I91" t="s">
        <v>19</v>
      </c>
      <c r="J91" t="s">
        <v>20</v>
      </c>
      <c r="K91">
        <v>65</v>
      </c>
      <c r="L91">
        <v>5000</v>
      </c>
      <c r="M91" t="s">
        <v>17</v>
      </c>
    </row>
    <row r="92" spans="1:13" x14ac:dyDescent="0.25">
      <c r="A92">
        <v>91</v>
      </c>
      <c r="B92" t="s">
        <v>13</v>
      </c>
      <c r="C92">
        <v>35</v>
      </c>
      <c r="D92" t="s">
        <v>34</v>
      </c>
      <c r="E92">
        <v>7.3</v>
      </c>
      <c r="F92">
        <v>8</v>
      </c>
      <c r="G92">
        <v>60</v>
      </c>
      <c r="H92">
        <v>4</v>
      </c>
      <c r="I92" t="s">
        <v>19</v>
      </c>
      <c r="J92" t="s">
        <v>20</v>
      </c>
      <c r="K92">
        <v>65</v>
      </c>
      <c r="L92">
        <v>5000</v>
      </c>
      <c r="M92" t="s">
        <v>17</v>
      </c>
    </row>
    <row r="93" spans="1:13" x14ac:dyDescent="0.25">
      <c r="A93">
        <v>92</v>
      </c>
      <c r="B93" t="s">
        <v>13</v>
      </c>
      <c r="C93">
        <v>35</v>
      </c>
      <c r="D93" t="s">
        <v>34</v>
      </c>
      <c r="E93">
        <v>7.3</v>
      </c>
      <c r="F93">
        <v>8</v>
      </c>
      <c r="G93">
        <v>60</v>
      </c>
      <c r="H93">
        <v>4</v>
      </c>
      <c r="I93" t="s">
        <v>19</v>
      </c>
      <c r="J93" t="s">
        <v>20</v>
      </c>
      <c r="K93">
        <v>65</v>
      </c>
      <c r="L93">
        <v>5000</v>
      </c>
      <c r="M93" t="s">
        <v>17</v>
      </c>
    </row>
    <row r="94" spans="1:13" x14ac:dyDescent="0.25">
      <c r="A94">
        <v>93</v>
      </c>
      <c r="B94" t="s">
        <v>13</v>
      </c>
      <c r="C94">
        <v>35</v>
      </c>
      <c r="D94" t="s">
        <v>14</v>
      </c>
      <c r="E94">
        <v>7.5</v>
      </c>
      <c r="F94">
        <v>8</v>
      </c>
      <c r="G94">
        <v>60</v>
      </c>
      <c r="H94">
        <v>5</v>
      </c>
      <c r="I94" t="s">
        <v>30</v>
      </c>
      <c r="J94" t="s">
        <v>27</v>
      </c>
      <c r="K94">
        <v>70</v>
      </c>
      <c r="L94">
        <v>8000</v>
      </c>
      <c r="M94" t="s">
        <v>17</v>
      </c>
    </row>
    <row r="95" spans="1:13" x14ac:dyDescent="0.25">
      <c r="A95">
        <v>94</v>
      </c>
      <c r="B95" t="s">
        <v>13</v>
      </c>
      <c r="C95">
        <v>35</v>
      </c>
      <c r="D95" t="s">
        <v>42</v>
      </c>
      <c r="E95">
        <v>7.4</v>
      </c>
      <c r="F95">
        <v>7</v>
      </c>
      <c r="G95">
        <v>60</v>
      </c>
      <c r="H95">
        <v>5</v>
      </c>
      <c r="I95" t="s">
        <v>22</v>
      </c>
      <c r="J95" t="s">
        <v>43</v>
      </c>
      <c r="K95">
        <v>84</v>
      </c>
      <c r="L95">
        <v>3300</v>
      </c>
      <c r="M95" t="s">
        <v>24</v>
      </c>
    </row>
    <row r="96" spans="1:13" x14ac:dyDescent="0.25">
      <c r="A96">
        <v>95</v>
      </c>
      <c r="B96" t="s">
        <v>28</v>
      </c>
      <c r="C96">
        <v>36</v>
      </c>
      <c r="D96" t="s">
        <v>35</v>
      </c>
      <c r="E96">
        <v>7.2</v>
      </c>
      <c r="F96">
        <v>8</v>
      </c>
      <c r="G96">
        <v>60</v>
      </c>
      <c r="H96">
        <v>4</v>
      </c>
      <c r="I96" t="s">
        <v>19</v>
      </c>
      <c r="J96" t="s">
        <v>41</v>
      </c>
      <c r="K96">
        <v>68</v>
      </c>
      <c r="L96">
        <v>7000</v>
      </c>
      <c r="M96" t="s">
        <v>25</v>
      </c>
    </row>
    <row r="97" spans="1:13" x14ac:dyDescent="0.25">
      <c r="A97">
        <v>96</v>
      </c>
      <c r="B97" t="s">
        <v>28</v>
      </c>
      <c r="C97">
        <v>36</v>
      </c>
      <c r="D97" t="s">
        <v>35</v>
      </c>
      <c r="E97">
        <v>7.1</v>
      </c>
      <c r="F97">
        <v>8</v>
      </c>
      <c r="G97">
        <v>60</v>
      </c>
      <c r="H97">
        <v>4</v>
      </c>
      <c r="I97" t="s">
        <v>19</v>
      </c>
      <c r="J97" t="s">
        <v>41</v>
      </c>
      <c r="K97">
        <v>68</v>
      </c>
      <c r="L97">
        <v>7000</v>
      </c>
      <c r="M97" t="s">
        <v>17</v>
      </c>
    </row>
    <row r="98" spans="1:13" x14ac:dyDescent="0.25">
      <c r="A98">
        <v>97</v>
      </c>
      <c r="B98" t="s">
        <v>28</v>
      </c>
      <c r="C98">
        <v>36</v>
      </c>
      <c r="D98" t="s">
        <v>35</v>
      </c>
      <c r="E98">
        <v>7.2</v>
      </c>
      <c r="F98">
        <v>8</v>
      </c>
      <c r="G98">
        <v>60</v>
      </c>
      <c r="H98">
        <v>4</v>
      </c>
      <c r="I98" t="s">
        <v>19</v>
      </c>
      <c r="J98" t="s">
        <v>41</v>
      </c>
      <c r="K98">
        <v>68</v>
      </c>
      <c r="L98">
        <v>7000</v>
      </c>
      <c r="M98" t="s">
        <v>17</v>
      </c>
    </row>
    <row r="99" spans="1:13" x14ac:dyDescent="0.25">
      <c r="A99">
        <v>98</v>
      </c>
      <c r="B99" t="s">
        <v>28</v>
      </c>
      <c r="C99">
        <v>36</v>
      </c>
      <c r="D99" t="s">
        <v>35</v>
      </c>
      <c r="E99">
        <v>7.1</v>
      </c>
      <c r="F99">
        <v>8</v>
      </c>
      <c r="G99">
        <v>60</v>
      </c>
      <c r="H99">
        <v>4</v>
      </c>
      <c r="I99" t="s">
        <v>19</v>
      </c>
      <c r="J99" t="s">
        <v>41</v>
      </c>
      <c r="K99">
        <v>68</v>
      </c>
      <c r="L99">
        <v>7000</v>
      </c>
      <c r="M99" t="s">
        <v>17</v>
      </c>
    </row>
    <row r="100" spans="1:13" x14ac:dyDescent="0.25">
      <c r="A100">
        <v>99</v>
      </c>
      <c r="B100" t="s">
        <v>28</v>
      </c>
      <c r="C100">
        <v>36</v>
      </c>
      <c r="D100" t="s">
        <v>26</v>
      </c>
      <c r="E100">
        <v>7.1</v>
      </c>
      <c r="F100">
        <v>8</v>
      </c>
      <c r="G100">
        <v>60</v>
      </c>
      <c r="H100">
        <v>4</v>
      </c>
      <c r="I100" t="s">
        <v>19</v>
      </c>
      <c r="J100" t="s">
        <v>41</v>
      </c>
      <c r="K100">
        <v>68</v>
      </c>
      <c r="L100">
        <v>7000</v>
      </c>
      <c r="M100" t="s">
        <v>17</v>
      </c>
    </row>
    <row r="101" spans="1:13" x14ac:dyDescent="0.25">
      <c r="A101">
        <v>100</v>
      </c>
      <c r="B101" t="s">
        <v>28</v>
      </c>
      <c r="C101">
        <v>36</v>
      </c>
      <c r="D101" t="s">
        <v>26</v>
      </c>
      <c r="E101">
        <v>7.1</v>
      </c>
      <c r="F101">
        <v>8</v>
      </c>
      <c r="G101">
        <v>60</v>
      </c>
      <c r="H101">
        <v>4</v>
      </c>
      <c r="I101" t="s">
        <v>19</v>
      </c>
      <c r="J101" t="s">
        <v>41</v>
      </c>
      <c r="K101">
        <v>68</v>
      </c>
      <c r="L101">
        <v>7000</v>
      </c>
      <c r="M101" t="s">
        <v>17</v>
      </c>
    </row>
    <row r="102" spans="1:13" x14ac:dyDescent="0.25">
      <c r="A102">
        <v>101</v>
      </c>
      <c r="B102" t="s">
        <v>28</v>
      </c>
      <c r="C102">
        <v>36</v>
      </c>
      <c r="D102" t="s">
        <v>26</v>
      </c>
      <c r="E102">
        <v>7.2</v>
      </c>
      <c r="F102">
        <v>8</v>
      </c>
      <c r="G102">
        <v>60</v>
      </c>
      <c r="H102">
        <v>4</v>
      </c>
      <c r="I102" t="s">
        <v>19</v>
      </c>
      <c r="J102" t="s">
        <v>41</v>
      </c>
      <c r="K102">
        <v>68</v>
      </c>
      <c r="L102">
        <v>7000</v>
      </c>
      <c r="M102" t="s">
        <v>17</v>
      </c>
    </row>
    <row r="103" spans="1:13" x14ac:dyDescent="0.25">
      <c r="A103">
        <v>102</v>
      </c>
      <c r="B103" t="s">
        <v>28</v>
      </c>
      <c r="C103">
        <v>36</v>
      </c>
      <c r="D103" t="s">
        <v>26</v>
      </c>
      <c r="E103">
        <v>7.2</v>
      </c>
      <c r="F103">
        <v>8</v>
      </c>
      <c r="G103">
        <v>60</v>
      </c>
      <c r="H103">
        <v>4</v>
      </c>
      <c r="I103" t="s">
        <v>19</v>
      </c>
      <c r="J103" t="s">
        <v>41</v>
      </c>
      <c r="K103">
        <v>68</v>
      </c>
      <c r="L103">
        <v>7000</v>
      </c>
      <c r="M103" t="s">
        <v>17</v>
      </c>
    </row>
    <row r="104" spans="1:13" x14ac:dyDescent="0.25">
      <c r="A104">
        <v>103</v>
      </c>
      <c r="B104" t="s">
        <v>28</v>
      </c>
      <c r="C104">
        <v>36</v>
      </c>
      <c r="D104" t="s">
        <v>26</v>
      </c>
      <c r="E104">
        <v>7.2</v>
      </c>
      <c r="F104">
        <v>8</v>
      </c>
      <c r="G104">
        <v>60</v>
      </c>
      <c r="H104">
        <v>4</v>
      </c>
      <c r="I104" t="s">
        <v>19</v>
      </c>
      <c r="J104" t="s">
        <v>41</v>
      </c>
      <c r="K104">
        <v>68</v>
      </c>
      <c r="L104">
        <v>7000</v>
      </c>
      <c r="M104" t="s">
        <v>17</v>
      </c>
    </row>
    <row r="105" spans="1:13" x14ac:dyDescent="0.25">
      <c r="A105">
        <v>104</v>
      </c>
      <c r="B105" t="s">
        <v>13</v>
      </c>
      <c r="C105">
        <v>36</v>
      </c>
      <c r="D105" t="s">
        <v>26</v>
      </c>
      <c r="E105">
        <v>6.6</v>
      </c>
      <c r="F105">
        <v>5</v>
      </c>
      <c r="G105">
        <v>35</v>
      </c>
      <c r="H105">
        <v>7</v>
      </c>
      <c r="I105" t="s">
        <v>15</v>
      </c>
      <c r="J105" t="s">
        <v>44</v>
      </c>
      <c r="K105">
        <v>74</v>
      </c>
      <c r="L105">
        <v>4800</v>
      </c>
      <c r="M105" t="s">
        <v>24</v>
      </c>
    </row>
    <row r="106" spans="1:13" x14ac:dyDescent="0.25">
      <c r="A106">
        <v>105</v>
      </c>
      <c r="B106" t="s">
        <v>28</v>
      </c>
      <c r="C106">
        <v>36</v>
      </c>
      <c r="D106" t="s">
        <v>26</v>
      </c>
      <c r="E106">
        <v>7.2</v>
      </c>
      <c r="F106">
        <v>8</v>
      </c>
      <c r="G106">
        <v>60</v>
      </c>
      <c r="H106">
        <v>4</v>
      </c>
      <c r="I106" t="s">
        <v>19</v>
      </c>
      <c r="J106" t="s">
        <v>41</v>
      </c>
      <c r="K106">
        <v>68</v>
      </c>
      <c r="L106">
        <v>7000</v>
      </c>
      <c r="M106" t="s">
        <v>24</v>
      </c>
    </row>
    <row r="107" spans="1:13" x14ac:dyDescent="0.25">
      <c r="A107">
        <v>106</v>
      </c>
      <c r="B107" t="s">
        <v>13</v>
      </c>
      <c r="C107">
        <v>36</v>
      </c>
      <c r="D107" t="s">
        <v>26</v>
      </c>
      <c r="E107">
        <v>6.6</v>
      </c>
      <c r="F107">
        <v>5</v>
      </c>
      <c r="G107">
        <v>35</v>
      </c>
      <c r="H107">
        <v>7</v>
      </c>
      <c r="I107" t="s">
        <v>15</v>
      </c>
      <c r="J107" t="s">
        <v>44</v>
      </c>
      <c r="K107">
        <v>74</v>
      </c>
      <c r="L107">
        <v>4800</v>
      </c>
      <c r="M107" t="s">
        <v>25</v>
      </c>
    </row>
    <row r="108" spans="1:13" x14ac:dyDescent="0.25">
      <c r="A108">
        <v>107</v>
      </c>
      <c r="B108" t="s">
        <v>28</v>
      </c>
      <c r="C108">
        <v>37</v>
      </c>
      <c r="D108" t="s">
        <v>29</v>
      </c>
      <c r="E108">
        <v>6.1</v>
      </c>
      <c r="F108">
        <v>6</v>
      </c>
      <c r="G108">
        <v>42</v>
      </c>
      <c r="H108">
        <v>6</v>
      </c>
      <c r="I108" t="s">
        <v>15</v>
      </c>
      <c r="J108" t="s">
        <v>16</v>
      </c>
      <c r="K108">
        <v>77</v>
      </c>
      <c r="L108">
        <v>4200</v>
      </c>
      <c r="M108" t="s">
        <v>17</v>
      </c>
    </row>
    <row r="109" spans="1:13" x14ac:dyDescent="0.25">
      <c r="A109">
        <v>108</v>
      </c>
      <c r="B109" t="s">
        <v>13</v>
      </c>
      <c r="C109">
        <v>37</v>
      </c>
      <c r="D109" t="s">
        <v>34</v>
      </c>
      <c r="E109">
        <v>7.8</v>
      </c>
      <c r="F109">
        <v>8</v>
      </c>
      <c r="G109">
        <v>70</v>
      </c>
      <c r="H109">
        <v>4</v>
      </c>
      <c r="I109" t="s">
        <v>30</v>
      </c>
      <c r="J109" t="s">
        <v>27</v>
      </c>
      <c r="K109">
        <v>68</v>
      </c>
      <c r="L109">
        <v>7000</v>
      </c>
      <c r="M109" t="s">
        <v>17</v>
      </c>
    </row>
    <row r="110" spans="1:13" x14ac:dyDescent="0.25">
      <c r="A110">
        <v>109</v>
      </c>
      <c r="B110" t="s">
        <v>13</v>
      </c>
      <c r="C110">
        <v>37</v>
      </c>
      <c r="D110" t="s">
        <v>34</v>
      </c>
      <c r="E110">
        <v>7.8</v>
      </c>
      <c r="F110">
        <v>8</v>
      </c>
      <c r="G110">
        <v>70</v>
      </c>
      <c r="H110">
        <v>4</v>
      </c>
      <c r="I110" t="s">
        <v>30</v>
      </c>
      <c r="J110" t="s">
        <v>27</v>
      </c>
      <c r="K110">
        <v>68</v>
      </c>
      <c r="L110">
        <v>7000</v>
      </c>
      <c r="M110" t="s">
        <v>17</v>
      </c>
    </row>
    <row r="111" spans="1:13" x14ac:dyDescent="0.25">
      <c r="A111">
        <v>110</v>
      </c>
      <c r="B111" t="s">
        <v>13</v>
      </c>
      <c r="C111">
        <v>37</v>
      </c>
      <c r="D111" t="s">
        <v>42</v>
      </c>
      <c r="E111">
        <v>7.4</v>
      </c>
      <c r="F111">
        <v>8</v>
      </c>
      <c r="G111">
        <v>60</v>
      </c>
      <c r="H111">
        <v>5</v>
      </c>
      <c r="I111" t="s">
        <v>19</v>
      </c>
      <c r="J111" t="s">
        <v>45</v>
      </c>
      <c r="K111">
        <v>68</v>
      </c>
      <c r="L111">
        <v>8000</v>
      </c>
      <c r="M111" t="s">
        <v>17</v>
      </c>
    </row>
    <row r="112" spans="1:13" x14ac:dyDescent="0.25">
      <c r="A112">
        <v>111</v>
      </c>
      <c r="B112" t="s">
        <v>28</v>
      </c>
      <c r="C112">
        <v>37</v>
      </c>
      <c r="D112" t="s">
        <v>35</v>
      </c>
      <c r="E112">
        <v>7.2</v>
      </c>
      <c r="F112">
        <v>8</v>
      </c>
      <c r="G112">
        <v>60</v>
      </c>
      <c r="H112">
        <v>4</v>
      </c>
      <c r="I112" t="s">
        <v>19</v>
      </c>
      <c r="J112" t="s">
        <v>41</v>
      </c>
      <c r="K112">
        <v>68</v>
      </c>
      <c r="L112">
        <v>7000</v>
      </c>
      <c r="M112" t="s">
        <v>17</v>
      </c>
    </row>
    <row r="113" spans="1:13" x14ac:dyDescent="0.25">
      <c r="A113">
        <v>112</v>
      </c>
      <c r="B113" t="s">
        <v>13</v>
      </c>
      <c r="C113">
        <v>37</v>
      </c>
      <c r="D113" t="s">
        <v>42</v>
      </c>
      <c r="E113">
        <v>7.4</v>
      </c>
      <c r="F113">
        <v>8</v>
      </c>
      <c r="G113">
        <v>60</v>
      </c>
      <c r="H113">
        <v>5</v>
      </c>
      <c r="I113" t="s">
        <v>19</v>
      </c>
      <c r="J113" t="s">
        <v>45</v>
      </c>
      <c r="K113">
        <v>68</v>
      </c>
      <c r="L113">
        <v>8000</v>
      </c>
      <c r="M113" t="s">
        <v>17</v>
      </c>
    </row>
    <row r="114" spans="1:13" x14ac:dyDescent="0.25">
      <c r="A114">
        <v>113</v>
      </c>
      <c r="B114" t="s">
        <v>28</v>
      </c>
      <c r="C114">
        <v>37</v>
      </c>
      <c r="D114" t="s">
        <v>35</v>
      </c>
      <c r="E114">
        <v>7.2</v>
      </c>
      <c r="F114">
        <v>8</v>
      </c>
      <c r="G114">
        <v>60</v>
      </c>
      <c r="H114">
        <v>4</v>
      </c>
      <c r="I114" t="s">
        <v>19</v>
      </c>
      <c r="J114" t="s">
        <v>41</v>
      </c>
      <c r="K114">
        <v>68</v>
      </c>
      <c r="L114">
        <v>7000</v>
      </c>
      <c r="M114" t="s">
        <v>17</v>
      </c>
    </row>
    <row r="115" spans="1:13" x14ac:dyDescent="0.25">
      <c r="A115">
        <v>114</v>
      </c>
      <c r="B115" t="s">
        <v>13</v>
      </c>
      <c r="C115">
        <v>37</v>
      </c>
      <c r="D115" t="s">
        <v>42</v>
      </c>
      <c r="E115">
        <v>7.4</v>
      </c>
      <c r="F115">
        <v>8</v>
      </c>
      <c r="G115">
        <v>60</v>
      </c>
      <c r="H115">
        <v>5</v>
      </c>
      <c r="I115" t="s">
        <v>19</v>
      </c>
      <c r="J115" t="s">
        <v>45</v>
      </c>
      <c r="K115">
        <v>68</v>
      </c>
      <c r="L115">
        <v>8000</v>
      </c>
      <c r="M115" t="s">
        <v>17</v>
      </c>
    </row>
    <row r="116" spans="1:13" x14ac:dyDescent="0.25">
      <c r="A116">
        <v>115</v>
      </c>
      <c r="B116" t="s">
        <v>28</v>
      </c>
      <c r="C116">
        <v>37</v>
      </c>
      <c r="D116" t="s">
        <v>35</v>
      </c>
      <c r="E116">
        <v>7.2</v>
      </c>
      <c r="F116">
        <v>8</v>
      </c>
      <c r="G116">
        <v>60</v>
      </c>
      <c r="H116">
        <v>4</v>
      </c>
      <c r="I116" t="s">
        <v>19</v>
      </c>
      <c r="J116" t="s">
        <v>41</v>
      </c>
      <c r="K116">
        <v>68</v>
      </c>
      <c r="L116">
        <v>7000</v>
      </c>
      <c r="M116" t="s">
        <v>17</v>
      </c>
    </row>
    <row r="117" spans="1:13" x14ac:dyDescent="0.25">
      <c r="A117">
        <v>116</v>
      </c>
      <c r="B117" t="s">
        <v>28</v>
      </c>
      <c r="C117">
        <v>37</v>
      </c>
      <c r="D117" t="s">
        <v>35</v>
      </c>
      <c r="E117">
        <v>7.2</v>
      </c>
      <c r="F117">
        <v>8</v>
      </c>
      <c r="G117">
        <v>60</v>
      </c>
      <c r="H117">
        <v>4</v>
      </c>
      <c r="I117" t="s">
        <v>19</v>
      </c>
      <c r="J117" t="s">
        <v>41</v>
      </c>
      <c r="K117">
        <v>68</v>
      </c>
      <c r="L117">
        <v>7000</v>
      </c>
      <c r="M117" t="s">
        <v>17</v>
      </c>
    </row>
    <row r="118" spans="1:13" x14ac:dyDescent="0.25">
      <c r="A118">
        <v>117</v>
      </c>
      <c r="B118" t="s">
        <v>28</v>
      </c>
      <c r="C118">
        <v>37</v>
      </c>
      <c r="D118" t="s">
        <v>35</v>
      </c>
      <c r="E118">
        <v>7.2</v>
      </c>
      <c r="F118">
        <v>8</v>
      </c>
      <c r="G118">
        <v>60</v>
      </c>
      <c r="H118">
        <v>4</v>
      </c>
      <c r="I118" t="s">
        <v>19</v>
      </c>
      <c r="J118" t="s">
        <v>41</v>
      </c>
      <c r="K118">
        <v>68</v>
      </c>
      <c r="L118">
        <v>7000</v>
      </c>
      <c r="M118" t="s">
        <v>17</v>
      </c>
    </row>
    <row r="119" spans="1:13" x14ac:dyDescent="0.25">
      <c r="A119">
        <v>118</v>
      </c>
      <c r="B119" t="s">
        <v>28</v>
      </c>
      <c r="C119">
        <v>37</v>
      </c>
      <c r="D119" t="s">
        <v>35</v>
      </c>
      <c r="E119">
        <v>7.2</v>
      </c>
      <c r="F119">
        <v>8</v>
      </c>
      <c r="G119">
        <v>60</v>
      </c>
      <c r="H119">
        <v>4</v>
      </c>
      <c r="I119" t="s">
        <v>19</v>
      </c>
      <c r="J119" t="s">
        <v>41</v>
      </c>
      <c r="K119">
        <v>68</v>
      </c>
      <c r="L119">
        <v>7000</v>
      </c>
      <c r="M119" t="s">
        <v>17</v>
      </c>
    </row>
    <row r="120" spans="1:13" x14ac:dyDescent="0.25">
      <c r="A120">
        <v>119</v>
      </c>
      <c r="B120" t="s">
        <v>28</v>
      </c>
      <c r="C120">
        <v>37</v>
      </c>
      <c r="D120" t="s">
        <v>35</v>
      </c>
      <c r="E120">
        <v>7.2</v>
      </c>
      <c r="F120">
        <v>8</v>
      </c>
      <c r="G120">
        <v>60</v>
      </c>
      <c r="H120">
        <v>4</v>
      </c>
      <c r="I120" t="s">
        <v>19</v>
      </c>
      <c r="J120" t="s">
        <v>41</v>
      </c>
      <c r="K120">
        <v>68</v>
      </c>
      <c r="L120">
        <v>7000</v>
      </c>
      <c r="M120" t="s">
        <v>17</v>
      </c>
    </row>
    <row r="121" spans="1:13" x14ac:dyDescent="0.25">
      <c r="A121">
        <v>120</v>
      </c>
      <c r="B121" t="s">
        <v>28</v>
      </c>
      <c r="C121">
        <v>37</v>
      </c>
      <c r="D121" t="s">
        <v>35</v>
      </c>
      <c r="E121">
        <v>7.2</v>
      </c>
      <c r="F121">
        <v>8</v>
      </c>
      <c r="G121">
        <v>60</v>
      </c>
      <c r="H121">
        <v>4</v>
      </c>
      <c r="I121" t="s">
        <v>19</v>
      </c>
      <c r="J121" t="s">
        <v>41</v>
      </c>
      <c r="K121">
        <v>68</v>
      </c>
      <c r="L121">
        <v>7000</v>
      </c>
      <c r="M121" t="s">
        <v>17</v>
      </c>
    </row>
    <row r="122" spans="1:13" x14ac:dyDescent="0.25">
      <c r="A122">
        <v>121</v>
      </c>
      <c r="B122" t="s">
        <v>28</v>
      </c>
      <c r="C122">
        <v>37</v>
      </c>
      <c r="D122" t="s">
        <v>35</v>
      </c>
      <c r="E122">
        <v>7.2</v>
      </c>
      <c r="F122">
        <v>8</v>
      </c>
      <c r="G122">
        <v>60</v>
      </c>
      <c r="H122">
        <v>4</v>
      </c>
      <c r="I122" t="s">
        <v>19</v>
      </c>
      <c r="J122" t="s">
        <v>41</v>
      </c>
      <c r="K122">
        <v>68</v>
      </c>
      <c r="L122">
        <v>7000</v>
      </c>
      <c r="M122" t="s">
        <v>17</v>
      </c>
    </row>
    <row r="123" spans="1:13" x14ac:dyDescent="0.25">
      <c r="A123">
        <v>122</v>
      </c>
      <c r="B123" t="s">
        <v>28</v>
      </c>
      <c r="C123">
        <v>37</v>
      </c>
      <c r="D123" t="s">
        <v>35</v>
      </c>
      <c r="E123">
        <v>7.2</v>
      </c>
      <c r="F123">
        <v>8</v>
      </c>
      <c r="G123">
        <v>60</v>
      </c>
      <c r="H123">
        <v>4</v>
      </c>
      <c r="I123" t="s">
        <v>19</v>
      </c>
      <c r="J123" t="s">
        <v>41</v>
      </c>
      <c r="K123">
        <v>68</v>
      </c>
      <c r="L123">
        <v>7000</v>
      </c>
      <c r="M123" t="s">
        <v>17</v>
      </c>
    </row>
    <row r="124" spans="1:13" x14ac:dyDescent="0.25">
      <c r="A124">
        <v>123</v>
      </c>
      <c r="B124" t="s">
        <v>28</v>
      </c>
      <c r="C124">
        <v>37</v>
      </c>
      <c r="D124" t="s">
        <v>35</v>
      </c>
      <c r="E124">
        <v>7.2</v>
      </c>
      <c r="F124">
        <v>8</v>
      </c>
      <c r="G124">
        <v>60</v>
      </c>
      <c r="H124">
        <v>4</v>
      </c>
      <c r="I124" t="s">
        <v>19</v>
      </c>
      <c r="J124" t="s">
        <v>41</v>
      </c>
      <c r="K124">
        <v>68</v>
      </c>
      <c r="L124">
        <v>7000</v>
      </c>
      <c r="M124" t="s">
        <v>17</v>
      </c>
    </row>
    <row r="125" spans="1:13" x14ac:dyDescent="0.25">
      <c r="A125">
        <v>124</v>
      </c>
      <c r="B125" t="s">
        <v>28</v>
      </c>
      <c r="C125">
        <v>37</v>
      </c>
      <c r="D125" t="s">
        <v>35</v>
      </c>
      <c r="E125">
        <v>7.2</v>
      </c>
      <c r="F125">
        <v>8</v>
      </c>
      <c r="G125">
        <v>60</v>
      </c>
      <c r="H125">
        <v>4</v>
      </c>
      <c r="I125" t="s">
        <v>19</v>
      </c>
      <c r="J125" t="s">
        <v>41</v>
      </c>
      <c r="K125">
        <v>68</v>
      </c>
      <c r="L125">
        <v>7000</v>
      </c>
      <c r="M125" t="s">
        <v>17</v>
      </c>
    </row>
    <row r="126" spans="1:13" x14ac:dyDescent="0.25">
      <c r="A126">
        <v>125</v>
      </c>
      <c r="B126" t="s">
        <v>28</v>
      </c>
      <c r="C126">
        <v>37</v>
      </c>
      <c r="D126" t="s">
        <v>35</v>
      </c>
      <c r="E126">
        <v>7.2</v>
      </c>
      <c r="F126">
        <v>8</v>
      </c>
      <c r="G126">
        <v>60</v>
      </c>
      <c r="H126">
        <v>4</v>
      </c>
      <c r="I126" t="s">
        <v>19</v>
      </c>
      <c r="J126" t="s">
        <v>41</v>
      </c>
      <c r="K126">
        <v>68</v>
      </c>
      <c r="L126">
        <v>7000</v>
      </c>
      <c r="M126" t="s">
        <v>17</v>
      </c>
    </row>
    <row r="127" spans="1:13" x14ac:dyDescent="0.25">
      <c r="A127">
        <v>126</v>
      </c>
      <c r="B127" t="s">
        <v>28</v>
      </c>
      <c r="C127">
        <v>37</v>
      </c>
      <c r="D127" t="s">
        <v>29</v>
      </c>
      <c r="E127">
        <v>7.5</v>
      </c>
      <c r="F127">
        <v>8</v>
      </c>
      <c r="G127">
        <v>60</v>
      </c>
      <c r="H127">
        <v>4</v>
      </c>
      <c r="I127" t="s">
        <v>30</v>
      </c>
      <c r="J127" t="s">
        <v>27</v>
      </c>
      <c r="K127">
        <v>70</v>
      </c>
      <c r="L127">
        <v>8000</v>
      </c>
      <c r="M127" t="s">
        <v>17</v>
      </c>
    </row>
    <row r="128" spans="1:13" x14ac:dyDescent="0.25">
      <c r="A128">
        <v>127</v>
      </c>
      <c r="B128" t="s">
        <v>13</v>
      </c>
      <c r="C128">
        <v>38</v>
      </c>
      <c r="D128" t="s">
        <v>42</v>
      </c>
      <c r="E128">
        <v>7.3</v>
      </c>
      <c r="F128">
        <v>8</v>
      </c>
      <c r="G128">
        <v>60</v>
      </c>
      <c r="H128">
        <v>5</v>
      </c>
      <c r="I128" t="s">
        <v>19</v>
      </c>
      <c r="J128" t="s">
        <v>45</v>
      </c>
      <c r="K128">
        <v>68</v>
      </c>
      <c r="L128">
        <v>8000</v>
      </c>
      <c r="M128" t="s">
        <v>17</v>
      </c>
    </row>
    <row r="129" spans="1:13" x14ac:dyDescent="0.25">
      <c r="A129">
        <v>128</v>
      </c>
      <c r="B129" t="s">
        <v>28</v>
      </c>
      <c r="C129">
        <v>38</v>
      </c>
      <c r="D129" t="s">
        <v>35</v>
      </c>
      <c r="E129">
        <v>7.1</v>
      </c>
      <c r="F129">
        <v>8</v>
      </c>
      <c r="G129">
        <v>60</v>
      </c>
      <c r="H129">
        <v>4</v>
      </c>
      <c r="I129" t="s">
        <v>19</v>
      </c>
      <c r="J129" t="s">
        <v>41</v>
      </c>
      <c r="K129">
        <v>68</v>
      </c>
      <c r="L129">
        <v>7000</v>
      </c>
      <c r="M129" t="s">
        <v>17</v>
      </c>
    </row>
    <row r="130" spans="1:13" x14ac:dyDescent="0.25">
      <c r="A130">
        <v>129</v>
      </c>
      <c r="B130" t="s">
        <v>13</v>
      </c>
      <c r="C130">
        <v>38</v>
      </c>
      <c r="D130" t="s">
        <v>42</v>
      </c>
      <c r="E130">
        <v>7.3</v>
      </c>
      <c r="F130">
        <v>8</v>
      </c>
      <c r="G130">
        <v>60</v>
      </c>
      <c r="H130">
        <v>5</v>
      </c>
      <c r="I130" t="s">
        <v>19</v>
      </c>
      <c r="J130" t="s">
        <v>45</v>
      </c>
      <c r="K130">
        <v>68</v>
      </c>
      <c r="L130">
        <v>8000</v>
      </c>
      <c r="M130" t="s">
        <v>17</v>
      </c>
    </row>
    <row r="131" spans="1:13" x14ac:dyDescent="0.25">
      <c r="A131">
        <v>130</v>
      </c>
      <c r="B131" t="s">
        <v>13</v>
      </c>
      <c r="C131">
        <v>38</v>
      </c>
      <c r="D131" t="s">
        <v>42</v>
      </c>
      <c r="E131">
        <v>7.3</v>
      </c>
      <c r="F131">
        <v>8</v>
      </c>
      <c r="G131">
        <v>60</v>
      </c>
      <c r="H131">
        <v>5</v>
      </c>
      <c r="I131" t="s">
        <v>19</v>
      </c>
      <c r="J131" t="s">
        <v>45</v>
      </c>
      <c r="K131">
        <v>68</v>
      </c>
      <c r="L131">
        <v>8000</v>
      </c>
      <c r="M131" t="s">
        <v>17</v>
      </c>
    </row>
    <row r="132" spans="1:13" x14ac:dyDescent="0.25">
      <c r="A132">
        <v>131</v>
      </c>
      <c r="B132" t="s">
        <v>28</v>
      </c>
      <c r="C132">
        <v>38</v>
      </c>
      <c r="D132" t="s">
        <v>35</v>
      </c>
      <c r="E132">
        <v>7.1</v>
      </c>
      <c r="F132">
        <v>8</v>
      </c>
      <c r="G132">
        <v>60</v>
      </c>
      <c r="H132">
        <v>4</v>
      </c>
      <c r="I132" t="s">
        <v>19</v>
      </c>
      <c r="J132" t="s">
        <v>41</v>
      </c>
      <c r="K132">
        <v>68</v>
      </c>
      <c r="L132">
        <v>7000</v>
      </c>
      <c r="M132" t="s">
        <v>17</v>
      </c>
    </row>
    <row r="133" spans="1:13" x14ac:dyDescent="0.25">
      <c r="A133">
        <v>132</v>
      </c>
      <c r="B133" t="s">
        <v>13</v>
      </c>
      <c r="C133">
        <v>38</v>
      </c>
      <c r="D133" t="s">
        <v>42</v>
      </c>
      <c r="E133">
        <v>7.3</v>
      </c>
      <c r="F133">
        <v>8</v>
      </c>
      <c r="G133">
        <v>60</v>
      </c>
      <c r="H133">
        <v>5</v>
      </c>
      <c r="I133" t="s">
        <v>19</v>
      </c>
      <c r="J133" t="s">
        <v>45</v>
      </c>
      <c r="K133">
        <v>68</v>
      </c>
      <c r="L133">
        <v>8000</v>
      </c>
      <c r="M133" t="s">
        <v>17</v>
      </c>
    </row>
    <row r="134" spans="1:13" x14ac:dyDescent="0.25">
      <c r="A134">
        <v>133</v>
      </c>
      <c r="B134" t="s">
        <v>13</v>
      </c>
      <c r="C134">
        <v>38</v>
      </c>
      <c r="D134" t="s">
        <v>42</v>
      </c>
      <c r="E134">
        <v>7.3</v>
      </c>
      <c r="F134">
        <v>8</v>
      </c>
      <c r="G134">
        <v>60</v>
      </c>
      <c r="H134">
        <v>5</v>
      </c>
      <c r="I134" t="s">
        <v>19</v>
      </c>
      <c r="J134" t="s">
        <v>45</v>
      </c>
      <c r="K134">
        <v>68</v>
      </c>
      <c r="L134">
        <v>8000</v>
      </c>
      <c r="M134" t="s">
        <v>17</v>
      </c>
    </row>
    <row r="135" spans="1:13" x14ac:dyDescent="0.25">
      <c r="A135">
        <v>134</v>
      </c>
      <c r="B135" t="s">
        <v>28</v>
      </c>
      <c r="C135">
        <v>38</v>
      </c>
      <c r="D135" t="s">
        <v>35</v>
      </c>
      <c r="E135">
        <v>7.1</v>
      </c>
      <c r="F135">
        <v>8</v>
      </c>
      <c r="G135">
        <v>60</v>
      </c>
      <c r="H135">
        <v>4</v>
      </c>
      <c r="I135" t="s">
        <v>19</v>
      </c>
      <c r="J135" t="s">
        <v>41</v>
      </c>
      <c r="K135">
        <v>68</v>
      </c>
      <c r="L135">
        <v>7000</v>
      </c>
      <c r="M135" t="s">
        <v>17</v>
      </c>
    </row>
    <row r="136" spans="1:13" x14ac:dyDescent="0.25">
      <c r="A136">
        <v>135</v>
      </c>
      <c r="B136" t="s">
        <v>13</v>
      </c>
      <c r="C136">
        <v>38</v>
      </c>
      <c r="D136" t="s">
        <v>42</v>
      </c>
      <c r="E136">
        <v>7.3</v>
      </c>
      <c r="F136">
        <v>8</v>
      </c>
      <c r="G136">
        <v>60</v>
      </c>
      <c r="H136">
        <v>5</v>
      </c>
      <c r="I136" t="s">
        <v>19</v>
      </c>
      <c r="J136" t="s">
        <v>45</v>
      </c>
      <c r="K136">
        <v>68</v>
      </c>
      <c r="L136">
        <v>8000</v>
      </c>
      <c r="M136" t="s">
        <v>17</v>
      </c>
    </row>
    <row r="137" spans="1:13" x14ac:dyDescent="0.25">
      <c r="A137">
        <v>136</v>
      </c>
      <c r="B137" t="s">
        <v>13</v>
      </c>
      <c r="C137">
        <v>38</v>
      </c>
      <c r="D137" t="s">
        <v>42</v>
      </c>
      <c r="E137">
        <v>7.3</v>
      </c>
      <c r="F137">
        <v>8</v>
      </c>
      <c r="G137">
        <v>60</v>
      </c>
      <c r="H137">
        <v>5</v>
      </c>
      <c r="I137" t="s">
        <v>19</v>
      </c>
      <c r="J137" t="s">
        <v>45</v>
      </c>
      <c r="K137">
        <v>68</v>
      </c>
      <c r="L137">
        <v>8000</v>
      </c>
      <c r="M137" t="s">
        <v>17</v>
      </c>
    </row>
    <row r="138" spans="1:13" x14ac:dyDescent="0.25">
      <c r="A138">
        <v>137</v>
      </c>
      <c r="B138" t="s">
        <v>28</v>
      </c>
      <c r="C138">
        <v>38</v>
      </c>
      <c r="D138" t="s">
        <v>35</v>
      </c>
      <c r="E138">
        <v>7.1</v>
      </c>
      <c r="F138">
        <v>8</v>
      </c>
      <c r="G138">
        <v>60</v>
      </c>
      <c r="H138">
        <v>4</v>
      </c>
      <c r="I138" t="s">
        <v>19</v>
      </c>
      <c r="J138" t="s">
        <v>41</v>
      </c>
      <c r="K138">
        <v>68</v>
      </c>
      <c r="L138">
        <v>7000</v>
      </c>
      <c r="M138" t="s">
        <v>17</v>
      </c>
    </row>
    <row r="139" spans="1:13" x14ac:dyDescent="0.25">
      <c r="A139">
        <v>138</v>
      </c>
      <c r="B139" t="s">
        <v>13</v>
      </c>
      <c r="C139">
        <v>38</v>
      </c>
      <c r="D139" t="s">
        <v>42</v>
      </c>
      <c r="E139">
        <v>7.1</v>
      </c>
      <c r="F139">
        <v>8</v>
      </c>
      <c r="G139">
        <v>60</v>
      </c>
      <c r="H139">
        <v>5</v>
      </c>
      <c r="I139" t="s">
        <v>19</v>
      </c>
      <c r="J139" t="s">
        <v>45</v>
      </c>
      <c r="K139">
        <v>68</v>
      </c>
      <c r="L139">
        <v>8000</v>
      </c>
      <c r="M139" t="s">
        <v>17</v>
      </c>
    </row>
    <row r="140" spans="1:13" x14ac:dyDescent="0.25">
      <c r="A140">
        <v>139</v>
      </c>
      <c r="B140" t="s">
        <v>28</v>
      </c>
      <c r="C140">
        <v>38</v>
      </c>
      <c r="D140" t="s">
        <v>35</v>
      </c>
      <c r="E140">
        <v>7.1</v>
      </c>
      <c r="F140">
        <v>8</v>
      </c>
      <c r="G140">
        <v>60</v>
      </c>
      <c r="H140">
        <v>4</v>
      </c>
      <c r="I140" t="s">
        <v>19</v>
      </c>
      <c r="J140" t="s">
        <v>41</v>
      </c>
      <c r="K140">
        <v>68</v>
      </c>
      <c r="L140">
        <v>7000</v>
      </c>
      <c r="M140" t="s">
        <v>17</v>
      </c>
    </row>
    <row r="141" spans="1:13" x14ac:dyDescent="0.25">
      <c r="A141">
        <v>140</v>
      </c>
      <c r="B141" t="s">
        <v>13</v>
      </c>
      <c r="C141">
        <v>38</v>
      </c>
      <c r="D141" t="s">
        <v>42</v>
      </c>
      <c r="E141">
        <v>7.1</v>
      </c>
      <c r="F141">
        <v>8</v>
      </c>
      <c r="G141">
        <v>60</v>
      </c>
      <c r="H141">
        <v>5</v>
      </c>
      <c r="I141" t="s">
        <v>19</v>
      </c>
      <c r="J141" t="s">
        <v>45</v>
      </c>
      <c r="K141">
        <v>68</v>
      </c>
      <c r="L141">
        <v>8000</v>
      </c>
      <c r="M141" t="s">
        <v>17</v>
      </c>
    </row>
    <row r="142" spans="1:13" x14ac:dyDescent="0.25">
      <c r="A142">
        <v>141</v>
      </c>
      <c r="B142" t="s">
        <v>28</v>
      </c>
      <c r="C142">
        <v>38</v>
      </c>
      <c r="D142" t="s">
        <v>35</v>
      </c>
      <c r="E142">
        <v>7.1</v>
      </c>
      <c r="F142">
        <v>8</v>
      </c>
      <c r="G142">
        <v>60</v>
      </c>
      <c r="H142">
        <v>4</v>
      </c>
      <c r="I142" t="s">
        <v>19</v>
      </c>
      <c r="J142" t="s">
        <v>41</v>
      </c>
      <c r="K142">
        <v>68</v>
      </c>
      <c r="L142">
        <v>7000</v>
      </c>
      <c r="M142" t="s">
        <v>17</v>
      </c>
    </row>
    <row r="143" spans="1:13" x14ac:dyDescent="0.25">
      <c r="A143">
        <v>142</v>
      </c>
      <c r="B143" t="s">
        <v>13</v>
      </c>
      <c r="C143">
        <v>38</v>
      </c>
      <c r="D143" t="s">
        <v>42</v>
      </c>
      <c r="E143">
        <v>7.1</v>
      </c>
      <c r="F143">
        <v>8</v>
      </c>
      <c r="G143">
        <v>60</v>
      </c>
      <c r="H143">
        <v>5</v>
      </c>
      <c r="I143" t="s">
        <v>19</v>
      </c>
      <c r="J143" t="s">
        <v>45</v>
      </c>
      <c r="K143">
        <v>68</v>
      </c>
      <c r="L143">
        <v>8000</v>
      </c>
      <c r="M143" t="s">
        <v>17</v>
      </c>
    </row>
    <row r="144" spans="1:13" x14ac:dyDescent="0.25">
      <c r="A144">
        <v>143</v>
      </c>
      <c r="B144" t="s">
        <v>28</v>
      </c>
      <c r="C144">
        <v>38</v>
      </c>
      <c r="D144" t="s">
        <v>35</v>
      </c>
      <c r="E144">
        <v>7.1</v>
      </c>
      <c r="F144">
        <v>8</v>
      </c>
      <c r="G144">
        <v>60</v>
      </c>
      <c r="H144">
        <v>4</v>
      </c>
      <c r="I144" t="s">
        <v>19</v>
      </c>
      <c r="J144" t="s">
        <v>41</v>
      </c>
      <c r="K144">
        <v>68</v>
      </c>
      <c r="L144">
        <v>7000</v>
      </c>
      <c r="M144" t="s">
        <v>17</v>
      </c>
    </row>
    <row r="145" spans="1:13" x14ac:dyDescent="0.25">
      <c r="A145">
        <v>144</v>
      </c>
      <c r="B145" t="s">
        <v>28</v>
      </c>
      <c r="C145">
        <v>38</v>
      </c>
      <c r="D145" t="s">
        <v>35</v>
      </c>
      <c r="E145">
        <v>7.1</v>
      </c>
      <c r="F145">
        <v>8</v>
      </c>
      <c r="G145">
        <v>60</v>
      </c>
      <c r="H145">
        <v>4</v>
      </c>
      <c r="I145" t="s">
        <v>19</v>
      </c>
      <c r="J145" t="s">
        <v>41</v>
      </c>
      <c r="K145">
        <v>68</v>
      </c>
      <c r="L145">
        <v>7000</v>
      </c>
      <c r="M145" t="s">
        <v>17</v>
      </c>
    </row>
    <row r="146" spans="1:13" x14ac:dyDescent="0.25">
      <c r="A146">
        <v>145</v>
      </c>
      <c r="B146" t="s">
        <v>13</v>
      </c>
      <c r="C146">
        <v>38</v>
      </c>
      <c r="D146" t="s">
        <v>42</v>
      </c>
      <c r="E146">
        <v>7.1</v>
      </c>
      <c r="F146">
        <v>8</v>
      </c>
      <c r="G146">
        <v>60</v>
      </c>
      <c r="H146">
        <v>5</v>
      </c>
      <c r="I146" t="s">
        <v>19</v>
      </c>
      <c r="J146" t="s">
        <v>45</v>
      </c>
      <c r="K146">
        <v>68</v>
      </c>
      <c r="L146">
        <v>8000</v>
      </c>
      <c r="M146" t="s">
        <v>24</v>
      </c>
    </row>
    <row r="147" spans="1:13" x14ac:dyDescent="0.25">
      <c r="A147">
        <v>146</v>
      </c>
      <c r="B147" t="s">
        <v>28</v>
      </c>
      <c r="C147">
        <v>38</v>
      </c>
      <c r="D147" t="s">
        <v>42</v>
      </c>
      <c r="E147">
        <v>7.4</v>
      </c>
      <c r="F147">
        <v>7</v>
      </c>
      <c r="G147">
        <v>60</v>
      </c>
      <c r="H147">
        <v>5</v>
      </c>
      <c r="I147" t="s">
        <v>22</v>
      </c>
      <c r="J147" t="s">
        <v>43</v>
      </c>
      <c r="K147">
        <v>84</v>
      </c>
      <c r="L147">
        <v>3300</v>
      </c>
      <c r="M147" t="s">
        <v>24</v>
      </c>
    </row>
    <row r="148" spans="1:13" x14ac:dyDescent="0.25">
      <c r="A148">
        <v>147</v>
      </c>
      <c r="B148" t="s">
        <v>13</v>
      </c>
      <c r="C148">
        <v>39</v>
      </c>
      <c r="D148" t="s">
        <v>42</v>
      </c>
      <c r="E148">
        <v>7.2</v>
      </c>
      <c r="F148">
        <v>8</v>
      </c>
      <c r="G148">
        <v>60</v>
      </c>
      <c r="H148">
        <v>5</v>
      </c>
      <c r="I148" t="s">
        <v>19</v>
      </c>
      <c r="J148" t="s">
        <v>45</v>
      </c>
      <c r="K148">
        <v>68</v>
      </c>
      <c r="L148">
        <v>8000</v>
      </c>
      <c r="M148" t="s">
        <v>25</v>
      </c>
    </row>
    <row r="149" spans="1:13" x14ac:dyDescent="0.25">
      <c r="A149">
        <v>148</v>
      </c>
      <c r="B149" t="s">
        <v>13</v>
      </c>
      <c r="C149">
        <v>39</v>
      </c>
      <c r="D149" t="s">
        <v>34</v>
      </c>
      <c r="E149">
        <v>6.5</v>
      </c>
      <c r="F149">
        <v>5</v>
      </c>
      <c r="G149">
        <v>40</v>
      </c>
      <c r="H149">
        <v>7</v>
      </c>
      <c r="I149" t="s">
        <v>15</v>
      </c>
      <c r="J149" t="s">
        <v>31</v>
      </c>
      <c r="K149">
        <v>80</v>
      </c>
      <c r="L149">
        <v>4000</v>
      </c>
      <c r="M149" t="s">
        <v>25</v>
      </c>
    </row>
    <row r="150" spans="1:13" x14ac:dyDescent="0.25">
      <c r="A150">
        <v>149</v>
      </c>
      <c r="B150" t="s">
        <v>28</v>
      </c>
      <c r="C150">
        <v>39</v>
      </c>
      <c r="D150" t="s">
        <v>42</v>
      </c>
      <c r="E150">
        <v>6.9</v>
      </c>
      <c r="F150">
        <v>7</v>
      </c>
      <c r="G150">
        <v>50</v>
      </c>
      <c r="H150">
        <v>6</v>
      </c>
      <c r="I150" t="s">
        <v>30</v>
      </c>
      <c r="J150" t="s">
        <v>38</v>
      </c>
      <c r="K150">
        <v>75</v>
      </c>
      <c r="L150">
        <v>5500</v>
      </c>
      <c r="M150" t="s">
        <v>17</v>
      </c>
    </row>
    <row r="151" spans="1:13" x14ac:dyDescent="0.25">
      <c r="A151">
        <v>150</v>
      </c>
      <c r="B151" t="s">
        <v>28</v>
      </c>
      <c r="C151">
        <v>39</v>
      </c>
      <c r="D151" t="s">
        <v>35</v>
      </c>
      <c r="E151">
        <v>8</v>
      </c>
      <c r="F151">
        <v>9</v>
      </c>
      <c r="G151">
        <v>80</v>
      </c>
      <c r="H151">
        <v>3</v>
      </c>
      <c r="I151" t="s">
        <v>30</v>
      </c>
      <c r="J151" t="s">
        <v>46</v>
      </c>
      <c r="K151">
        <v>67</v>
      </c>
      <c r="L151">
        <v>7500</v>
      </c>
      <c r="M151" t="s">
        <v>17</v>
      </c>
    </row>
    <row r="152" spans="1:13" x14ac:dyDescent="0.25">
      <c r="A152">
        <v>151</v>
      </c>
      <c r="B152" t="s">
        <v>28</v>
      </c>
      <c r="C152">
        <v>39</v>
      </c>
      <c r="D152" t="s">
        <v>35</v>
      </c>
      <c r="E152">
        <v>8</v>
      </c>
      <c r="F152">
        <v>9</v>
      </c>
      <c r="G152">
        <v>80</v>
      </c>
      <c r="H152">
        <v>3</v>
      </c>
      <c r="I152" t="s">
        <v>30</v>
      </c>
      <c r="J152" t="s">
        <v>46</v>
      </c>
      <c r="K152">
        <v>67</v>
      </c>
      <c r="L152">
        <v>7500</v>
      </c>
      <c r="M152" t="s">
        <v>17</v>
      </c>
    </row>
    <row r="153" spans="1:13" x14ac:dyDescent="0.25">
      <c r="A153">
        <v>152</v>
      </c>
      <c r="B153" t="s">
        <v>13</v>
      </c>
      <c r="C153">
        <v>39</v>
      </c>
      <c r="D153" t="s">
        <v>42</v>
      </c>
      <c r="E153">
        <v>7.2</v>
      </c>
      <c r="F153">
        <v>8</v>
      </c>
      <c r="G153">
        <v>60</v>
      </c>
      <c r="H153">
        <v>5</v>
      </c>
      <c r="I153" t="s">
        <v>19</v>
      </c>
      <c r="J153" t="s">
        <v>45</v>
      </c>
      <c r="K153">
        <v>68</v>
      </c>
      <c r="L153">
        <v>8000</v>
      </c>
      <c r="M153" t="s">
        <v>17</v>
      </c>
    </row>
    <row r="154" spans="1:13" x14ac:dyDescent="0.25">
      <c r="A154">
        <v>153</v>
      </c>
      <c r="B154" t="s">
        <v>13</v>
      </c>
      <c r="C154">
        <v>39</v>
      </c>
      <c r="D154" t="s">
        <v>42</v>
      </c>
      <c r="E154">
        <v>7.2</v>
      </c>
      <c r="F154">
        <v>8</v>
      </c>
      <c r="G154">
        <v>60</v>
      </c>
      <c r="H154">
        <v>5</v>
      </c>
      <c r="I154" t="s">
        <v>19</v>
      </c>
      <c r="J154" t="s">
        <v>45</v>
      </c>
      <c r="K154">
        <v>68</v>
      </c>
      <c r="L154">
        <v>8000</v>
      </c>
      <c r="M154" t="s">
        <v>17</v>
      </c>
    </row>
    <row r="155" spans="1:13" x14ac:dyDescent="0.25">
      <c r="A155">
        <v>154</v>
      </c>
      <c r="B155" t="s">
        <v>13</v>
      </c>
      <c r="C155">
        <v>39</v>
      </c>
      <c r="D155" t="s">
        <v>42</v>
      </c>
      <c r="E155">
        <v>7.2</v>
      </c>
      <c r="F155">
        <v>8</v>
      </c>
      <c r="G155">
        <v>60</v>
      </c>
      <c r="H155">
        <v>5</v>
      </c>
      <c r="I155" t="s">
        <v>19</v>
      </c>
      <c r="J155" t="s">
        <v>45</v>
      </c>
      <c r="K155">
        <v>68</v>
      </c>
      <c r="L155">
        <v>8000</v>
      </c>
      <c r="M155" t="s">
        <v>17</v>
      </c>
    </row>
    <row r="156" spans="1:13" x14ac:dyDescent="0.25">
      <c r="A156">
        <v>155</v>
      </c>
      <c r="B156" t="s">
        <v>13</v>
      </c>
      <c r="C156">
        <v>39</v>
      </c>
      <c r="D156" t="s">
        <v>42</v>
      </c>
      <c r="E156">
        <v>7.2</v>
      </c>
      <c r="F156">
        <v>8</v>
      </c>
      <c r="G156">
        <v>60</v>
      </c>
      <c r="H156">
        <v>5</v>
      </c>
      <c r="I156" t="s">
        <v>19</v>
      </c>
      <c r="J156" t="s">
        <v>45</v>
      </c>
      <c r="K156">
        <v>68</v>
      </c>
      <c r="L156">
        <v>8000</v>
      </c>
      <c r="M156" t="s">
        <v>17</v>
      </c>
    </row>
    <row r="157" spans="1:13" x14ac:dyDescent="0.25">
      <c r="A157">
        <v>156</v>
      </c>
      <c r="B157" t="s">
        <v>13</v>
      </c>
      <c r="C157">
        <v>39</v>
      </c>
      <c r="D157" t="s">
        <v>42</v>
      </c>
      <c r="E157">
        <v>7.2</v>
      </c>
      <c r="F157">
        <v>8</v>
      </c>
      <c r="G157">
        <v>60</v>
      </c>
      <c r="H157">
        <v>5</v>
      </c>
      <c r="I157" t="s">
        <v>19</v>
      </c>
      <c r="J157" t="s">
        <v>45</v>
      </c>
      <c r="K157">
        <v>68</v>
      </c>
      <c r="L157">
        <v>8000</v>
      </c>
      <c r="M157" t="s">
        <v>17</v>
      </c>
    </row>
    <row r="158" spans="1:13" x14ac:dyDescent="0.25">
      <c r="A158">
        <v>157</v>
      </c>
      <c r="B158" t="s">
        <v>13</v>
      </c>
      <c r="C158">
        <v>39</v>
      </c>
      <c r="D158" t="s">
        <v>42</v>
      </c>
      <c r="E158">
        <v>7.2</v>
      </c>
      <c r="F158">
        <v>8</v>
      </c>
      <c r="G158">
        <v>60</v>
      </c>
      <c r="H158">
        <v>5</v>
      </c>
      <c r="I158" t="s">
        <v>19</v>
      </c>
      <c r="J158" t="s">
        <v>45</v>
      </c>
      <c r="K158">
        <v>68</v>
      </c>
      <c r="L158">
        <v>8000</v>
      </c>
      <c r="M158" t="s">
        <v>17</v>
      </c>
    </row>
    <row r="159" spans="1:13" x14ac:dyDescent="0.25">
      <c r="A159">
        <v>158</v>
      </c>
      <c r="B159" t="s">
        <v>13</v>
      </c>
      <c r="C159">
        <v>39</v>
      </c>
      <c r="D159" t="s">
        <v>42</v>
      </c>
      <c r="E159">
        <v>7.2</v>
      </c>
      <c r="F159">
        <v>8</v>
      </c>
      <c r="G159">
        <v>60</v>
      </c>
      <c r="H159">
        <v>5</v>
      </c>
      <c r="I159" t="s">
        <v>19</v>
      </c>
      <c r="J159" t="s">
        <v>45</v>
      </c>
      <c r="K159">
        <v>68</v>
      </c>
      <c r="L159">
        <v>8000</v>
      </c>
      <c r="M159" t="s">
        <v>17</v>
      </c>
    </row>
    <row r="160" spans="1:13" x14ac:dyDescent="0.25">
      <c r="A160">
        <v>159</v>
      </c>
      <c r="B160" t="s">
        <v>13</v>
      </c>
      <c r="C160">
        <v>39</v>
      </c>
      <c r="D160" t="s">
        <v>42</v>
      </c>
      <c r="E160">
        <v>7.2</v>
      </c>
      <c r="F160">
        <v>8</v>
      </c>
      <c r="G160">
        <v>60</v>
      </c>
      <c r="H160">
        <v>5</v>
      </c>
      <c r="I160" t="s">
        <v>19</v>
      </c>
      <c r="J160" t="s">
        <v>45</v>
      </c>
      <c r="K160">
        <v>68</v>
      </c>
      <c r="L160">
        <v>8000</v>
      </c>
      <c r="M160" t="s">
        <v>17</v>
      </c>
    </row>
    <row r="161" spans="1:13" x14ac:dyDescent="0.25">
      <c r="A161">
        <v>160</v>
      </c>
      <c r="B161" t="s">
        <v>13</v>
      </c>
      <c r="C161">
        <v>39</v>
      </c>
      <c r="D161" t="s">
        <v>42</v>
      </c>
      <c r="E161">
        <v>7.2</v>
      </c>
      <c r="F161">
        <v>8</v>
      </c>
      <c r="G161">
        <v>60</v>
      </c>
      <c r="H161">
        <v>5</v>
      </c>
      <c r="I161" t="s">
        <v>19</v>
      </c>
      <c r="J161" t="s">
        <v>45</v>
      </c>
      <c r="K161">
        <v>68</v>
      </c>
      <c r="L161">
        <v>8000</v>
      </c>
      <c r="M161" t="s">
        <v>17</v>
      </c>
    </row>
    <row r="162" spans="1:13" x14ac:dyDescent="0.25">
      <c r="A162">
        <v>161</v>
      </c>
      <c r="B162" t="s">
        <v>13</v>
      </c>
      <c r="C162">
        <v>39</v>
      </c>
      <c r="D162" t="s">
        <v>42</v>
      </c>
      <c r="E162">
        <v>7.2</v>
      </c>
      <c r="F162">
        <v>8</v>
      </c>
      <c r="G162">
        <v>60</v>
      </c>
      <c r="H162">
        <v>5</v>
      </c>
      <c r="I162" t="s">
        <v>19</v>
      </c>
      <c r="J162" t="s">
        <v>45</v>
      </c>
      <c r="K162">
        <v>68</v>
      </c>
      <c r="L162">
        <v>8000</v>
      </c>
      <c r="M162" t="s">
        <v>17</v>
      </c>
    </row>
    <row r="163" spans="1:13" x14ac:dyDescent="0.25">
      <c r="A163">
        <v>162</v>
      </c>
      <c r="B163" t="s">
        <v>28</v>
      </c>
      <c r="C163">
        <v>40</v>
      </c>
      <c r="D163" t="s">
        <v>35</v>
      </c>
      <c r="E163">
        <v>7.2</v>
      </c>
      <c r="F163">
        <v>8</v>
      </c>
      <c r="G163">
        <v>55</v>
      </c>
      <c r="H163">
        <v>6</v>
      </c>
      <c r="I163" t="s">
        <v>30</v>
      </c>
      <c r="J163" t="s">
        <v>47</v>
      </c>
      <c r="K163">
        <v>73</v>
      </c>
      <c r="L163">
        <v>7300</v>
      </c>
      <c r="M163" t="s">
        <v>17</v>
      </c>
    </row>
    <row r="164" spans="1:13" x14ac:dyDescent="0.25">
      <c r="A164">
        <v>163</v>
      </c>
      <c r="B164" t="s">
        <v>28</v>
      </c>
      <c r="C164">
        <v>40</v>
      </c>
      <c r="D164" t="s">
        <v>35</v>
      </c>
      <c r="E164">
        <v>7.2</v>
      </c>
      <c r="F164">
        <v>8</v>
      </c>
      <c r="G164">
        <v>55</v>
      </c>
      <c r="H164">
        <v>6</v>
      </c>
      <c r="I164" t="s">
        <v>30</v>
      </c>
      <c r="J164" t="s">
        <v>47</v>
      </c>
      <c r="K164">
        <v>73</v>
      </c>
      <c r="L164">
        <v>7300</v>
      </c>
      <c r="M164" t="s">
        <v>17</v>
      </c>
    </row>
    <row r="165" spans="1:13" x14ac:dyDescent="0.25">
      <c r="A165">
        <v>164</v>
      </c>
      <c r="B165" t="s">
        <v>13</v>
      </c>
      <c r="C165">
        <v>40</v>
      </c>
      <c r="D165" t="s">
        <v>42</v>
      </c>
      <c r="E165">
        <v>7.9</v>
      </c>
      <c r="F165">
        <v>8</v>
      </c>
      <c r="G165">
        <v>90</v>
      </c>
      <c r="H165">
        <v>5</v>
      </c>
      <c r="I165" t="s">
        <v>19</v>
      </c>
      <c r="J165" t="s">
        <v>45</v>
      </c>
      <c r="K165">
        <v>68</v>
      </c>
      <c r="L165">
        <v>8000</v>
      </c>
      <c r="M165" t="s">
        <v>17</v>
      </c>
    </row>
    <row r="166" spans="1:13" x14ac:dyDescent="0.25">
      <c r="A166">
        <v>165</v>
      </c>
      <c r="B166" t="s">
        <v>13</v>
      </c>
      <c r="C166">
        <v>40</v>
      </c>
      <c r="D166" t="s">
        <v>42</v>
      </c>
      <c r="E166">
        <v>7.9</v>
      </c>
      <c r="F166">
        <v>8</v>
      </c>
      <c r="G166">
        <v>90</v>
      </c>
      <c r="H166">
        <v>5</v>
      </c>
      <c r="I166" t="s">
        <v>19</v>
      </c>
      <c r="J166" t="s">
        <v>45</v>
      </c>
      <c r="K166">
        <v>68</v>
      </c>
      <c r="L166">
        <v>8000</v>
      </c>
      <c r="M166" t="s">
        <v>17</v>
      </c>
    </row>
    <row r="167" spans="1:13" x14ac:dyDescent="0.25">
      <c r="A167">
        <v>166</v>
      </c>
      <c r="B167" t="s">
        <v>13</v>
      </c>
      <c r="C167">
        <v>41</v>
      </c>
      <c r="D167" t="s">
        <v>42</v>
      </c>
      <c r="E167">
        <v>7.6</v>
      </c>
      <c r="F167">
        <v>8</v>
      </c>
      <c r="G167">
        <v>90</v>
      </c>
      <c r="H167">
        <v>5</v>
      </c>
      <c r="I167" t="s">
        <v>19</v>
      </c>
      <c r="J167" t="s">
        <v>45</v>
      </c>
      <c r="K167">
        <v>70</v>
      </c>
      <c r="L167">
        <v>8000</v>
      </c>
      <c r="M167" t="s">
        <v>25</v>
      </c>
    </row>
    <row r="168" spans="1:13" x14ac:dyDescent="0.25">
      <c r="A168">
        <v>167</v>
      </c>
      <c r="B168" t="s">
        <v>13</v>
      </c>
      <c r="C168">
        <v>41</v>
      </c>
      <c r="D168" t="s">
        <v>34</v>
      </c>
      <c r="E168">
        <v>7.3</v>
      </c>
      <c r="F168">
        <v>8</v>
      </c>
      <c r="G168">
        <v>70</v>
      </c>
      <c r="H168">
        <v>6</v>
      </c>
      <c r="I168" t="s">
        <v>30</v>
      </c>
      <c r="J168" t="s">
        <v>48</v>
      </c>
      <c r="K168">
        <v>72</v>
      </c>
      <c r="L168">
        <v>6200</v>
      </c>
      <c r="M168" t="s">
        <v>17</v>
      </c>
    </row>
    <row r="169" spans="1:13" x14ac:dyDescent="0.25">
      <c r="A169">
        <v>168</v>
      </c>
      <c r="B169" t="s">
        <v>13</v>
      </c>
      <c r="C169">
        <v>41</v>
      </c>
      <c r="D169" t="s">
        <v>42</v>
      </c>
      <c r="E169">
        <v>7.1</v>
      </c>
      <c r="F169">
        <v>7</v>
      </c>
      <c r="G169">
        <v>55</v>
      </c>
      <c r="H169">
        <v>6</v>
      </c>
      <c r="I169" t="s">
        <v>15</v>
      </c>
      <c r="J169" t="s">
        <v>49</v>
      </c>
      <c r="K169">
        <v>72</v>
      </c>
      <c r="L169">
        <v>6000</v>
      </c>
      <c r="M169" t="s">
        <v>17</v>
      </c>
    </row>
    <row r="170" spans="1:13" x14ac:dyDescent="0.25">
      <c r="A170">
        <v>169</v>
      </c>
      <c r="B170" t="s">
        <v>13</v>
      </c>
      <c r="C170">
        <v>41</v>
      </c>
      <c r="D170" t="s">
        <v>42</v>
      </c>
      <c r="E170">
        <v>7.1</v>
      </c>
      <c r="F170">
        <v>7</v>
      </c>
      <c r="G170">
        <v>55</v>
      </c>
      <c r="H170">
        <v>6</v>
      </c>
      <c r="I170" t="s">
        <v>15</v>
      </c>
      <c r="J170" t="s">
        <v>49</v>
      </c>
      <c r="K170">
        <v>72</v>
      </c>
      <c r="L170">
        <v>6000</v>
      </c>
      <c r="M170" t="s">
        <v>17</v>
      </c>
    </row>
    <row r="171" spans="1:13" x14ac:dyDescent="0.25">
      <c r="A171">
        <v>170</v>
      </c>
      <c r="B171" t="s">
        <v>13</v>
      </c>
      <c r="C171">
        <v>41</v>
      </c>
      <c r="D171" t="s">
        <v>42</v>
      </c>
      <c r="E171">
        <v>7.7</v>
      </c>
      <c r="F171">
        <v>8</v>
      </c>
      <c r="G171">
        <v>90</v>
      </c>
      <c r="H171">
        <v>5</v>
      </c>
      <c r="I171" t="s">
        <v>19</v>
      </c>
      <c r="J171" t="s">
        <v>45</v>
      </c>
      <c r="K171">
        <v>70</v>
      </c>
      <c r="L171">
        <v>8000</v>
      </c>
      <c r="M171" t="s">
        <v>17</v>
      </c>
    </row>
    <row r="172" spans="1:13" x14ac:dyDescent="0.25">
      <c r="A172">
        <v>171</v>
      </c>
      <c r="B172" t="s">
        <v>13</v>
      </c>
      <c r="C172">
        <v>41</v>
      </c>
      <c r="D172" t="s">
        <v>42</v>
      </c>
      <c r="E172">
        <v>7.7</v>
      </c>
      <c r="F172">
        <v>8</v>
      </c>
      <c r="G172">
        <v>90</v>
      </c>
      <c r="H172">
        <v>5</v>
      </c>
      <c r="I172" t="s">
        <v>19</v>
      </c>
      <c r="J172" t="s">
        <v>45</v>
      </c>
      <c r="K172">
        <v>70</v>
      </c>
      <c r="L172">
        <v>8000</v>
      </c>
      <c r="M172" t="s">
        <v>17</v>
      </c>
    </row>
    <row r="173" spans="1:13" x14ac:dyDescent="0.25">
      <c r="A173">
        <v>172</v>
      </c>
      <c r="B173" t="s">
        <v>13</v>
      </c>
      <c r="C173">
        <v>41</v>
      </c>
      <c r="D173" t="s">
        <v>42</v>
      </c>
      <c r="E173">
        <v>7.7</v>
      </c>
      <c r="F173">
        <v>8</v>
      </c>
      <c r="G173">
        <v>90</v>
      </c>
      <c r="H173">
        <v>5</v>
      </c>
      <c r="I173" t="s">
        <v>19</v>
      </c>
      <c r="J173" t="s">
        <v>45</v>
      </c>
      <c r="K173">
        <v>70</v>
      </c>
      <c r="L173">
        <v>8000</v>
      </c>
      <c r="M173" t="s">
        <v>17</v>
      </c>
    </row>
    <row r="174" spans="1:13" x14ac:dyDescent="0.25">
      <c r="A174">
        <v>173</v>
      </c>
      <c r="B174" t="s">
        <v>13</v>
      </c>
      <c r="C174">
        <v>41</v>
      </c>
      <c r="D174" t="s">
        <v>42</v>
      </c>
      <c r="E174">
        <v>7.7</v>
      </c>
      <c r="F174">
        <v>8</v>
      </c>
      <c r="G174">
        <v>90</v>
      </c>
      <c r="H174">
        <v>5</v>
      </c>
      <c r="I174" t="s">
        <v>19</v>
      </c>
      <c r="J174" t="s">
        <v>45</v>
      </c>
      <c r="K174">
        <v>70</v>
      </c>
      <c r="L174">
        <v>8000</v>
      </c>
      <c r="M174" t="s">
        <v>17</v>
      </c>
    </row>
    <row r="175" spans="1:13" x14ac:dyDescent="0.25">
      <c r="A175">
        <v>174</v>
      </c>
      <c r="B175" t="s">
        <v>13</v>
      </c>
      <c r="C175">
        <v>41</v>
      </c>
      <c r="D175" t="s">
        <v>42</v>
      </c>
      <c r="E175">
        <v>7.7</v>
      </c>
      <c r="F175">
        <v>8</v>
      </c>
      <c r="G175">
        <v>90</v>
      </c>
      <c r="H175">
        <v>5</v>
      </c>
      <c r="I175" t="s">
        <v>19</v>
      </c>
      <c r="J175" t="s">
        <v>45</v>
      </c>
      <c r="K175">
        <v>70</v>
      </c>
      <c r="L175">
        <v>8000</v>
      </c>
      <c r="M175" t="s">
        <v>17</v>
      </c>
    </row>
    <row r="176" spans="1:13" x14ac:dyDescent="0.25">
      <c r="A176">
        <v>175</v>
      </c>
      <c r="B176" t="s">
        <v>13</v>
      </c>
      <c r="C176">
        <v>41</v>
      </c>
      <c r="D176" t="s">
        <v>42</v>
      </c>
      <c r="E176">
        <v>7.6</v>
      </c>
      <c r="F176">
        <v>8</v>
      </c>
      <c r="G176">
        <v>90</v>
      </c>
      <c r="H176">
        <v>5</v>
      </c>
      <c r="I176" t="s">
        <v>19</v>
      </c>
      <c r="J176" t="s">
        <v>45</v>
      </c>
      <c r="K176">
        <v>70</v>
      </c>
      <c r="L176">
        <v>8000</v>
      </c>
      <c r="M176" t="s">
        <v>17</v>
      </c>
    </row>
    <row r="177" spans="1:13" x14ac:dyDescent="0.25">
      <c r="A177">
        <v>176</v>
      </c>
      <c r="B177" t="s">
        <v>13</v>
      </c>
      <c r="C177">
        <v>41</v>
      </c>
      <c r="D177" t="s">
        <v>42</v>
      </c>
      <c r="E177">
        <v>7.6</v>
      </c>
      <c r="F177">
        <v>8</v>
      </c>
      <c r="G177">
        <v>90</v>
      </c>
      <c r="H177">
        <v>5</v>
      </c>
      <c r="I177" t="s">
        <v>19</v>
      </c>
      <c r="J177" t="s">
        <v>45</v>
      </c>
      <c r="K177">
        <v>70</v>
      </c>
      <c r="L177">
        <v>8000</v>
      </c>
      <c r="M177" t="s">
        <v>17</v>
      </c>
    </row>
    <row r="178" spans="1:13" x14ac:dyDescent="0.25">
      <c r="A178">
        <v>177</v>
      </c>
      <c r="B178" t="s">
        <v>13</v>
      </c>
      <c r="C178">
        <v>41</v>
      </c>
      <c r="D178" t="s">
        <v>42</v>
      </c>
      <c r="E178">
        <v>7.6</v>
      </c>
      <c r="F178">
        <v>8</v>
      </c>
      <c r="G178">
        <v>90</v>
      </c>
      <c r="H178">
        <v>5</v>
      </c>
      <c r="I178" t="s">
        <v>19</v>
      </c>
      <c r="J178" t="s">
        <v>45</v>
      </c>
      <c r="K178">
        <v>70</v>
      </c>
      <c r="L178">
        <v>8000</v>
      </c>
      <c r="M178" t="s">
        <v>17</v>
      </c>
    </row>
    <row r="179" spans="1:13" x14ac:dyDescent="0.25">
      <c r="A179">
        <v>178</v>
      </c>
      <c r="B179" t="s">
        <v>13</v>
      </c>
      <c r="C179">
        <v>42</v>
      </c>
      <c r="D179" t="s">
        <v>50</v>
      </c>
      <c r="E179">
        <v>6.5</v>
      </c>
      <c r="F179">
        <v>6</v>
      </c>
      <c r="G179">
        <v>45</v>
      </c>
      <c r="H179">
        <v>7</v>
      </c>
      <c r="I179" t="s">
        <v>15</v>
      </c>
      <c r="J179" t="s">
        <v>45</v>
      </c>
      <c r="K179">
        <v>72</v>
      </c>
      <c r="L179">
        <v>6000</v>
      </c>
      <c r="M179" t="s">
        <v>25</v>
      </c>
    </row>
    <row r="180" spans="1:13" x14ac:dyDescent="0.25">
      <c r="A180">
        <v>179</v>
      </c>
      <c r="B180" t="s">
        <v>13</v>
      </c>
      <c r="C180">
        <v>42</v>
      </c>
      <c r="D180" t="s">
        <v>42</v>
      </c>
      <c r="E180">
        <v>7.8</v>
      </c>
      <c r="F180">
        <v>8</v>
      </c>
      <c r="G180">
        <v>90</v>
      </c>
      <c r="H180">
        <v>5</v>
      </c>
      <c r="I180" t="s">
        <v>19</v>
      </c>
      <c r="J180" t="s">
        <v>45</v>
      </c>
      <c r="K180">
        <v>70</v>
      </c>
      <c r="L180">
        <v>8000</v>
      </c>
      <c r="M180" t="s">
        <v>17</v>
      </c>
    </row>
    <row r="181" spans="1:13" x14ac:dyDescent="0.25">
      <c r="A181">
        <v>180</v>
      </c>
      <c r="B181" t="s">
        <v>13</v>
      </c>
      <c r="C181">
        <v>42</v>
      </c>
      <c r="D181" t="s">
        <v>42</v>
      </c>
      <c r="E181">
        <v>7.8</v>
      </c>
      <c r="F181">
        <v>8</v>
      </c>
      <c r="G181">
        <v>90</v>
      </c>
      <c r="H181">
        <v>5</v>
      </c>
      <c r="I181" t="s">
        <v>19</v>
      </c>
      <c r="J181" t="s">
        <v>45</v>
      </c>
      <c r="K181">
        <v>70</v>
      </c>
      <c r="L181">
        <v>8000</v>
      </c>
      <c r="M181" t="s">
        <v>17</v>
      </c>
    </row>
    <row r="182" spans="1:13" x14ac:dyDescent="0.25">
      <c r="A182">
        <v>181</v>
      </c>
      <c r="B182" t="s">
        <v>13</v>
      </c>
      <c r="C182">
        <v>42</v>
      </c>
      <c r="D182" t="s">
        <v>42</v>
      </c>
      <c r="E182">
        <v>7.8</v>
      </c>
      <c r="F182">
        <v>8</v>
      </c>
      <c r="G182">
        <v>90</v>
      </c>
      <c r="H182">
        <v>5</v>
      </c>
      <c r="I182" t="s">
        <v>19</v>
      </c>
      <c r="J182" t="s">
        <v>45</v>
      </c>
      <c r="K182">
        <v>70</v>
      </c>
      <c r="L182">
        <v>8000</v>
      </c>
      <c r="M182" t="s">
        <v>17</v>
      </c>
    </row>
    <row r="183" spans="1:13" x14ac:dyDescent="0.25">
      <c r="A183">
        <v>182</v>
      </c>
      <c r="B183" t="s">
        <v>13</v>
      </c>
      <c r="C183">
        <v>42</v>
      </c>
      <c r="D183" t="s">
        <v>42</v>
      </c>
      <c r="E183">
        <v>7.8</v>
      </c>
      <c r="F183">
        <v>8</v>
      </c>
      <c r="G183">
        <v>90</v>
      </c>
      <c r="H183">
        <v>5</v>
      </c>
      <c r="I183" t="s">
        <v>19</v>
      </c>
      <c r="J183" t="s">
        <v>45</v>
      </c>
      <c r="K183">
        <v>70</v>
      </c>
      <c r="L183">
        <v>8000</v>
      </c>
      <c r="M183" t="s">
        <v>17</v>
      </c>
    </row>
    <row r="184" spans="1:13" x14ac:dyDescent="0.25">
      <c r="A184">
        <v>183</v>
      </c>
      <c r="B184" t="s">
        <v>13</v>
      </c>
      <c r="C184">
        <v>42</v>
      </c>
      <c r="D184" t="s">
        <v>42</v>
      </c>
      <c r="E184">
        <v>7.8</v>
      </c>
      <c r="F184">
        <v>8</v>
      </c>
      <c r="G184">
        <v>90</v>
      </c>
      <c r="H184">
        <v>5</v>
      </c>
      <c r="I184" t="s">
        <v>19</v>
      </c>
      <c r="J184" t="s">
        <v>45</v>
      </c>
      <c r="K184">
        <v>70</v>
      </c>
      <c r="L184">
        <v>8000</v>
      </c>
      <c r="M184" t="s">
        <v>17</v>
      </c>
    </row>
    <row r="185" spans="1:13" x14ac:dyDescent="0.25">
      <c r="A185">
        <v>184</v>
      </c>
      <c r="B185" t="s">
        <v>13</v>
      </c>
      <c r="C185">
        <v>42</v>
      </c>
      <c r="D185" t="s">
        <v>42</v>
      </c>
      <c r="E185">
        <v>7.8</v>
      </c>
      <c r="F185">
        <v>8</v>
      </c>
      <c r="G185">
        <v>90</v>
      </c>
      <c r="H185">
        <v>5</v>
      </c>
      <c r="I185" t="s">
        <v>19</v>
      </c>
      <c r="J185" t="s">
        <v>45</v>
      </c>
      <c r="K185">
        <v>70</v>
      </c>
      <c r="L185">
        <v>8000</v>
      </c>
      <c r="M185" t="s">
        <v>17</v>
      </c>
    </row>
    <row r="186" spans="1:13" x14ac:dyDescent="0.25">
      <c r="A186">
        <v>185</v>
      </c>
      <c r="B186" t="s">
        <v>28</v>
      </c>
      <c r="C186">
        <v>42</v>
      </c>
      <c r="D186" t="s">
        <v>26</v>
      </c>
      <c r="E186">
        <v>6.8</v>
      </c>
      <c r="F186">
        <v>6</v>
      </c>
      <c r="G186">
        <v>45</v>
      </c>
      <c r="H186">
        <v>7</v>
      </c>
      <c r="I186" t="s">
        <v>15</v>
      </c>
      <c r="J186" t="s">
        <v>45</v>
      </c>
      <c r="K186">
        <v>78</v>
      </c>
      <c r="L186">
        <v>5000</v>
      </c>
      <c r="M186" t="s">
        <v>24</v>
      </c>
    </row>
    <row r="187" spans="1:13" x14ac:dyDescent="0.25">
      <c r="A187">
        <v>186</v>
      </c>
      <c r="B187" t="s">
        <v>28</v>
      </c>
      <c r="C187">
        <v>42</v>
      </c>
      <c r="D187" t="s">
        <v>26</v>
      </c>
      <c r="E187">
        <v>6.8</v>
      </c>
      <c r="F187">
        <v>6</v>
      </c>
      <c r="G187">
        <v>45</v>
      </c>
      <c r="H187">
        <v>7</v>
      </c>
      <c r="I187" t="s">
        <v>15</v>
      </c>
      <c r="J187" t="s">
        <v>45</v>
      </c>
      <c r="K187">
        <v>78</v>
      </c>
      <c r="L187">
        <v>5000</v>
      </c>
      <c r="M187" t="s">
        <v>24</v>
      </c>
    </row>
    <row r="188" spans="1:13" x14ac:dyDescent="0.25">
      <c r="A188">
        <v>187</v>
      </c>
      <c r="B188" t="s">
        <v>28</v>
      </c>
      <c r="C188">
        <v>43</v>
      </c>
      <c r="D188" t="s">
        <v>26</v>
      </c>
      <c r="E188">
        <v>6.7</v>
      </c>
      <c r="F188">
        <v>7</v>
      </c>
      <c r="G188">
        <v>45</v>
      </c>
      <c r="H188">
        <v>4</v>
      </c>
      <c r="I188" t="s">
        <v>15</v>
      </c>
      <c r="J188" t="s">
        <v>51</v>
      </c>
      <c r="K188">
        <v>65</v>
      </c>
      <c r="L188">
        <v>6000</v>
      </c>
      <c r="M188" t="s">
        <v>25</v>
      </c>
    </row>
    <row r="189" spans="1:13" x14ac:dyDescent="0.25">
      <c r="A189">
        <v>188</v>
      </c>
      <c r="B189" t="s">
        <v>13</v>
      </c>
      <c r="C189">
        <v>43</v>
      </c>
      <c r="D189" t="s">
        <v>50</v>
      </c>
      <c r="E189">
        <v>6.3</v>
      </c>
      <c r="F189">
        <v>6</v>
      </c>
      <c r="G189">
        <v>45</v>
      </c>
      <c r="H189">
        <v>7</v>
      </c>
      <c r="I189" t="s">
        <v>15</v>
      </c>
      <c r="J189" t="s">
        <v>45</v>
      </c>
      <c r="K189">
        <v>72</v>
      </c>
      <c r="L189">
        <v>6000</v>
      </c>
      <c r="M189" t="s">
        <v>25</v>
      </c>
    </row>
    <row r="190" spans="1:13" x14ac:dyDescent="0.25">
      <c r="A190">
        <v>189</v>
      </c>
      <c r="B190" t="s">
        <v>28</v>
      </c>
      <c r="C190">
        <v>43</v>
      </c>
      <c r="D190" t="s">
        <v>26</v>
      </c>
      <c r="E190">
        <v>6.7</v>
      </c>
      <c r="F190">
        <v>7</v>
      </c>
      <c r="G190">
        <v>45</v>
      </c>
      <c r="H190">
        <v>4</v>
      </c>
      <c r="I190" t="s">
        <v>15</v>
      </c>
      <c r="J190" t="s">
        <v>51</v>
      </c>
      <c r="K190">
        <v>65</v>
      </c>
      <c r="L190">
        <v>6000</v>
      </c>
      <c r="M190" t="s">
        <v>25</v>
      </c>
    </row>
    <row r="191" spans="1:13" x14ac:dyDescent="0.25">
      <c r="A191">
        <v>190</v>
      </c>
      <c r="B191" t="s">
        <v>13</v>
      </c>
      <c r="C191">
        <v>43</v>
      </c>
      <c r="D191" t="s">
        <v>50</v>
      </c>
      <c r="E191">
        <v>6.5</v>
      </c>
      <c r="F191">
        <v>6</v>
      </c>
      <c r="G191">
        <v>45</v>
      </c>
      <c r="H191">
        <v>7</v>
      </c>
      <c r="I191" t="s">
        <v>15</v>
      </c>
      <c r="J191" t="s">
        <v>45</v>
      </c>
      <c r="K191">
        <v>72</v>
      </c>
      <c r="L191">
        <v>6000</v>
      </c>
      <c r="M191" t="s">
        <v>25</v>
      </c>
    </row>
    <row r="192" spans="1:13" x14ac:dyDescent="0.25">
      <c r="A192">
        <v>191</v>
      </c>
      <c r="B192" t="s">
        <v>28</v>
      </c>
      <c r="C192">
        <v>43</v>
      </c>
      <c r="D192" t="s">
        <v>26</v>
      </c>
      <c r="E192">
        <v>6.7</v>
      </c>
      <c r="F192">
        <v>7</v>
      </c>
      <c r="G192">
        <v>45</v>
      </c>
      <c r="H192">
        <v>4</v>
      </c>
      <c r="I192" t="s">
        <v>15</v>
      </c>
      <c r="J192" t="s">
        <v>51</v>
      </c>
      <c r="K192">
        <v>65</v>
      </c>
      <c r="L192">
        <v>6000</v>
      </c>
      <c r="M192" t="s">
        <v>25</v>
      </c>
    </row>
    <row r="193" spans="1:13" x14ac:dyDescent="0.25">
      <c r="A193">
        <v>192</v>
      </c>
      <c r="B193" t="s">
        <v>13</v>
      </c>
      <c r="C193">
        <v>43</v>
      </c>
      <c r="D193" t="s">
        <v>50</v>
      </c>
      <c r="E193">
        <v>6.4</v>
      </c>
      <c r="F193">
        <v>6</v>
      </c>
      <c r="G193">
        <v>45</v>
      </c>
      <c r="H193">
        <v>7</v>
      </c>
      <c r="I193" t="s">
        <v>15</v>
      </c>
      <c r="J193" t="s">
        <v>45</v>
      </c>
      <c r="K193">
        <v>72</v>
      </c>
      <c r="L193">
        <v>6000</v>
      </c>
      <c r="M193" t="s">
        <v>25</v>
      </c>
    </row>
    <row r="194" spans="1:13" x14ac:dyDescent="0.25">
      <c r="A194">
        <v>193</v>
      </c>
      <c r="B194" t="s">
        <v>13</v>
      </c>
      <c r="C194">
        <v>43</v>
      </c>
      <c r="D194" t="s">
        <v>50</v>
      </c>
      <c r="E194">
        <v>6.5</v>
      </c>
      <c r="F194">
        <v>6</v>
      </c>
      <c r="G194">
        <v>45</v>
      </c>
      <c r="H194">
        <v>7</v>
      </c>
      <c r="I194" t="s">
        <v>15</v>
      </c>
      <c r="J194" t="s">
        <v>45</v>
      </c>
      <c r="K194">
        <v>72</v>
      </c>
      <c r="L194">
        <v>6000</v>
      </c>
      <c r="M194" t="s">
        <v>25</v>
      </c>
    </row>
    <row r="195" spans="1:13" x14ac:dyDescent="0.25">
      <c r="A195">
        <v>194</v>
      </c>
      <c r="B195" t="s">
        <v>13</v>
      </c>
      <c r="C195">
        <v>43</v>
      </c>
      <c r="D195" t="s">
        <v>50</v>
      </c>
      <c r="E195">
        <v>6.5</v>
      </c>
      <c r="F195">
        <v>6</v>
      </c>
      <c r="G195">
        <v>45</v>
      </c>
      <c r="H195">
        <v>7</v>
      </c>
      <c r="I195" t="s">
        <v>15</v>
      </c>
      <c r="J195" t="s">
        <v>45</v>
      </c>
      <c r="K195">
        <v>72</v>
      </c>
      <c r="L195">
        <v>6000</v>
      </c>
      <c r="M195" t="s">
        <v>25</v>
      </c>
    </row>
    <row r="196" spans="1:13" x14ac:dyDescent="0.25">
      <c r="A196">
        <v>195</v>
      </c>
      <c r="B196" t="s">
        <v>13</v>
      </c>
      <c r="C196">
        <v>43</v>
      </c>
      <c r="D196" t="s">
        <v>50</v>
      </c>
      <c r="E196">
        <v>6.5</v>
      </c>
      <c r="F196">
        <v>6</v>
      </c>
      <c r="G196">
        <v>45</v>
      </c>
      <c r="H196">
        <v>7</v>
      </c>
      <c r="I196" t="s">
        <v>15</v>
      </c>
      <c r="J196" t="s">
        <v>45</v>
      </c>
      <c r="K196">
        <v>72</v>
      </c>
      <c r="L196">
        <v>6000</v>
      </c>
      <c r="M196" t="s">
        <v>25</v>
      </c>
    </row>
    <row r="197" spans="1:13" x14ac:dyDescent="0.25">
      <c r="A197">
        <v>196</v>
      </c>
      <c r="B197" t="s">
        <v>13</v>
      </c>
      <c r="C197">
        <v>43</v>
      </c>
      <c r="D197" t="s">
        <v>50</v>
      </c>
      <c r="E197">
        <v>6.5</v>
      </c>
      <c r="F197">
        <v>6</v>
      </c>
      <c r="G197">
        <v>45</v>
      </c>
      <c r="H197">
        <v>7</v>
      </c>
      <c r="I197" t="s">
        <v>15</v>
      </c>
      <c r="J197" t="s">
        <v>45</v>
      </c>
      <c r="K197">
        <v>72</v>
      </c>
      <c r="L197">
        <v>6000</v>
      </c>
      <c r="M197" t="s">
        <v>25</v>
      </c>
    </row>
    <row r="198" spans="1:13" x14ac:dyDescent="0.25">
      <c r="A198">
        <v>197</v>
      </c>
      <c r="B198" t="s">
        <v>13</v>
      </c>
      <c r="C198">
        <v>43</v>
      </c>
      <c r="D198" t="s">
        <v>50</v>
      </c>
      <c r="E198">
        <v>6.5</v>
      </c>
      <c r="F198">
        <v>6</v>
      </c>
      <c r="G198">
        <v>45</v>
      </c>
      <c r="H198">
        <v>7</v>
      </c>
      <c r="I198" t="s">
        <v>15</v>
      </c>
      <c r="J198" t="s">
        <v>45</v>
      </c>
      <c r="K198">
        <v>72</v>
      </c>
      <c r="L198">
        <v>6000</v>
      </c>
      <c r="M198" t="s">
        <v>25</v>
      </c>
    </row>
    <row r="199" spans="1:13" x14ac:dyDescent="0.25">
      <c r="A199">
        <v>198</v>
      </c>
      <c r="B199" t="s">
        <v>13</v>
      </c>
      <c r="C199">
        <v>43</v>
      </c>
      <c r="D199" t="s">
        <v>50</v>
      </c>
      <c r="E199">
        <v>6.5</v>
      </c>
      <c r="F199">
        <v>6</v>
      </c>
      <c r="G199">
        <v>45</v>
      </c>
      <c r="H199">
        <v>7</v>
      </c>
      <c r="I199" t="s">
        <v>15</v>
      </c>
      <c r="J199" t="s">
        <v>45</v>
      </c>
      <c r="K199">
        <v>72</v>
      </c>
      <c r="L199">
        <v>6000</v>
      </c>
      <c r="M199" t="s">
        <v>25</v>
      </c>
    </row>
    <row r="200" spans="1:13" x14ac:dyDescent="0.25">
      <c r="A200">
        <v>199</v>
      </c>
      <c r="B200" t="s">
        <v>13</v>
      </c>
      <c r="C200">
        <v>43</v>
      </c>
      <c r="D200" t="s">
        <v>50</v>
      </c>
      <c r="E200">
        <v>6.5</v>
      </c>
      <c r="F200">
        <v>6</v>
      </c>
      <c r="G200">
        <v>45</v>
      </c>
      <c r="H200">
        <v>7</v>
      </c>
      <c r="I200" t="s">
        <v>15</v>
      </c>
      <c r="J200" t="s">
        <v>45</v>
      </c>
      <c r="K200">
        <v>72</v>
      </c>
      <c r="L200">
        <v>6000</v>
      </c>
      <c r="M200" t="s">
        <v>25</v>
      </c>
    </row>
    <row r="201" spans="1:13" x14ac:dyDescent="0.25">
      <c r="A201">
        <v>200</v>
      </c>
      <c r="B201" t="s">
        <v>13</v>
      </c>
      <c r="C201">
        <v>43</v>
      </c>
      <c r="D201" t="s">
        <v>50</v>
      </c>
      <c r="E201">
        <v>6.5</v>
      </c>
      <c r="F201">
        <v>6</v>
      </c>
      <c r="G201">
        <v>45</v>
      </c>
      <c r="H201">
        <v>7</v>
      </c>
      <c r="I201" t="s">
        <v>15</v>
      </c>
      <c r="J201" t="s">
        <v>45</v>
      </c>
      <c r="K201">
        <v>72</v>
      </c>
      <c r="L201">
        <v>6000</v>
      </c>
      <c r="M201" t="s">
        <v>25</v>
      </c>
    </row>
    <row r="202" spans="1:13" x14ac:dyDescent="0.25">
      <c r="A202">
        <v>201</v>
      </c>
      <c r="B202" t="s">
        <v>13</v>
      </c>
      <c r="C202">
        <v>43</v>
      </c>
      <c r="D202" t="s">
        <v>50</v>
      </c>
      <c r="E202">
        <v>6.5</v>
      </c>
      <c r="F202">
        <v>6</v>
      </c>
      <c r="G202">
        <v>45</v>
      </c>
      <c r="H202">
        <v>7</v>
      </c>
      <c r="I202" t="s">
        <v>15</v>
      </c>
      <c r="J202" t="s">
        <v>45</v>
      </c>
      <c r="K202">
        <v>72</v>
      </c>
      <c r="L202">
        <v>6000</v>
      </c>
      <c r="M202" t="s">
        <v>25</v>
      </c>
    </row>
    <row r="203" spans="1:13" x14ac:dyDescent="0.25">
      <c r="A203">
        <v>202</v>
      </c>
      <c r="B203" t="s">
        <v>13</v>
      </c>
      <c r="C203">
        <v>43</v>
      </c>
      <c r="D203" t="s">
        <v>34</v>
      </c>
      <c r="E203">
        <v>7.8</v>
      </c>
      <c r="F203">
        <v>8</v>
      </c>
      <c r="G203">
        <v>90</v>
      </c>
      <c r="H203">
        <v>5</v>
      </c>
      <c r="I203" t="s">
        <v>19</v>
      </c>
      <c r="J203" t="s">
        <v>45</v>
      </c>
      <c r="K203">
        <v>70</v>
      </c>
      <c r="L203">
        <v>8000</v>
      </c>
      <c r="M203" t="s">
        <v>25</v>
      </c>
    </row>
    <row r="204" spans="1:13" x14ac:dyDescent="0.25">
      <c r="A204">
        <v>203</v>
      </c>
      <c r="B204" t="s">
        <v>13</v>
      </c>
      <c r="C204">
        <v>43</v>
      </c>
      <c r="D204" t="s">
        <v>34</v>
      </c>
      <c r="E204">
        <v>7.8</v>
      </c>
      <c r="F204">
        <v>8</v>
      </c>
      <c r="G204">
        <v>90</v>
      </c>
      <c r="H204">
        <v>5</v>
      </c>
      <c r="I204" t="s">
        <v>19</v>
      </c>
      <c r="J204" t="s">
        <v>45</v>
      </c>
      <c r="K204">
        <v>70</v>
      </c>
      <c r="L204">
        <v>8000</v>
      </c>
      <c r="M204" t="s">
        <v>25</v>
      </c>
    </row>
    <row r="205" spans="1:13" x14ac:dyDescent="0.25">
      <c r="A205">
        <v>204</v>
      </c>
      <c r="B205" t="s">
        <v>13</v>
      </c>
      <c r="C205">
        <v>43</v>
      </c>
      <c r="D205" t="s">
        <v>34</v>
      </c>
      <c r="E205">
        <v>6.9</v>
      </c>
      <c r="F205">
        <v>6</v>
      </c>
      <c r="G205">
        <v>47</v>
      </c>
      <c r="H205">
        <v>7</v>
      </c>
      <c r="I205" t="s">
        <v>30</v>
      </c>
      <c r="J205" t="s">
        <v>33</v>
      </c>
      <c r="K205">
        <v>69</v>
      </c>
      <c r="L205">
        <v>6800</v>
      </c>
      <c r="M205" t="s">
        <v>17</v>
      </c>
    </row>
    <row r="206" spans="1:13" x14ac:dyDescent="0.25">
      <c r="A206">
        <v>205</v>
      </c>
      <c r="B206" t="s">
        <v>13</v>
      </c>
      <c r="C206">
        <v>43</v>
      </c>
      <c r="D206" t="s">
        <v>34</v>
      </c>
      <c r="E206">
        <v>7.6</v>
      </c>
      <c r="F206">
        <v>8</v>
      </c>
      <c r="G206">
        <v>75</v>
      </c>
      <c r="H206">
        <v>4</v>
      </c>
      <c r="I206" t="s">
        <v>15</v>
      </c>
      <c r="J206" t="s">
        <v>52</v>
      </c>
      <c r="K206">
        <v>68</v>
      </c>
      <c r="L206">
        <v>6800</v>
      </c>
      <c r="M206" t="s">
        <v>17</v>
      </c>
    </row>
    <row r="207" spans="1:13" x14ac:dyDescent="0.25">
      <c r="A207">
        <v>206</v>
      </c>
      <c r="B207" t="s">
        <v>13</v>
      </c>
      <c r="C207">
        <v>43</v>
      </c>
      <c r="D207" t="s">
        <v>34</v>
      </c>
      <c r="E207">
        <v>7.7</v>
      </c>
      <c r="F207">
        <v>8</v>
      </c>
      <c r="G207">
        <v>90</v>
      </c>
      <c r="H207">
        <v>5</v>
      </c>
      <c r="I207" t="s">
        <v>19</v>
      </c>
      <c r="J207" t="s">
        <v>45</v>
      </c>
      <c r="K207">
        <v>70</v>
      </c>
      <c r="L207">
        <v>8000</v>
      </c>
      <c r="M207" t="s">
        <v>17</v>
      </c>
    </row>
    <row r="208" spans="1:13" x14ac:dyDescent="0.25">
      <c r="A208">
        <v>207</v>
      </c>
      <c r="B208" t="s">
        <v>13</v>
      </c>
      <c r="C208">
        <v>43</v>
      </c>
      <c r="D208" t="s">
        <v>34</v>
      </c>
      <c r="E208">
        <v>7.7</v>
      </c>
      <c r="F208">
        <v>8</v>
      </c>
      <c r="G208">
        <v>90</v>
      </c>
      <c r="H208">
        <v>5</v>
      </c>
      <c r="I208" t="s">
        <v>19</v>
      </c>
      <c r="J208" t="s">
        <v>45</v>
      </c>
      <c r="K208">
        <v>70</v>
      </c>
      <c r="L208">
        <v>8000</v>
      </c>
      <c r="M208" t="s">
        <v>17</v>
      </c>
    </row>
    <row r="209" spans="1:13" x14ac:dyDescent="0.25">
      <c r="A209">
        <v>208</v>
      </c>
      <c r="B209" t="s">
        <v>13</v>
      </c>
      <c r="C209">
        <v>43</v>
      </c>
      <c r="D209" t="s">
        <v>34</v>
      </c>
      <c r="E209">
        <v>7.7</v>
      </c>
      <c r="F209">
        <v>8</v>
      </c>
      <c r="G209">
        <v>90</v>
      </c>
      <c r="H209">
        <v>5</v>
      </c>
      <c r="I209" t="s">
        <v>19</v>
      </c>
      <c r="J209" t="s">
        <v>45</v>
      </c>
      <c r="K209">
        <v>70</v>
      </c>
      <c r="L209">
        <v>8000</v>
      </c>
      <c r="M209" t="s">
        <v>17</v>
      </c>
    </row>
    <row r="210" spans="1:13" x14ac:dyDescent="0.25">
      <c r="A210">
        <v>209</v>
      </c>
      <c r="B210" t="s">
        <v>13</v>
      </c>
      <c r="C210">
        <v>43</v>
      </c>
      <c r="D210" t="s">
        <v>34</v>
      </c>
      <c r="E210">
        <v>7.7</v>
      </c>
      <c r="F210">
        <v>8</v>
      </c>
      <c r="G210">
        <v>90</v>
      </c>
      <c r="H210">
        <v>5</v>
      </c>
      <c r="I210" t="s">
        <v>19</v>
      </c>
      <c r="J210" t="s">
        <v>45</v>
      </c>
      <c r="K210">
        <v>70</v>
      </c>
      <c r="L210">
        <v>8000</v>
      </c>
      <c r="M210" t="s">
        <v>17</v>
      </c>
    </row>
    <row r="211" spans="1:13" x14ac:dyDescent="0.25">
      <c r="A211">
        <v>210</v>
      </c>
      <c r="B211" t="s">
        <v>13</v>
      </c>
      <c r="C211">
        <v>43</v>
      </c>
      <c r="D211" t="s">
        <v>34</v>
      </c>
      <c r="E211">
        <v>7.8</v>
      </c>
      <c r="F211">
        <v>8</v>
      </c>
      <c r="G211">
        <v>90</v>
      </c>
      <c r="H211">
        <v>5</v>
      </c>
      <c r="I211" t="s">
        <v>19</v>
      </c>
      <c r="J211" t="s">
        <v>45</v>
      </c>
      <c r="K211">
        <v>70</v>
      </c>
      <c r="L211">
        <v>8000</v>
      </c>
      <c r="M211" t="s">
        <v>17</v>
      </c>
    </row>
    <row r="212" spans="1:13" x14ac:dyDescent="0.25">
      <c r="A212">
        <v>211</v>
      </c>
      <c r="B212" t="s">
        <v>13</v>
      </c>
      <c r="C212">
        <v>43</v>
      </c>
      <c r="D212" t="s">
        <v>34</v>
      </c>
      <c r="E212">
        <v>7.7</v>
      </c>
      <c r="F212">
        <v>8</v>
      </c>
      <c r="G212">
        <v>90</v>
      </c>
      <c r="H212">
        <v>5</v>
      </c>
      <c r="I212" t="s">
        <v>19</v>
      </c>
      <c r="J212" t="s">
        <v>45</v>
      </c>
      <c r="K212">
        <v>70</v>
      </c>
      <c r="L212">
        <v>8000</v>
      </c>
      <c r="M212" t="s">
        <v>17</v>
      </c>
    </row>
    <row r="213" spans="1:13" x14ac:dyDescent="0.25">
      <c r="A213">
        <v>212</v>
      </c>
      <c r="B213" t="s">
        <v>13</v>
      </c>
      <c r="C213">
        <v>43</v>
      </c>
      <c r="D213" t="s">
        <v>34</v>
      </c>
      <c r="E213">
        <v>7.8</v>
      </c>
      <c r="F213">
        <v>8</v>
      </c>
      <c r="G213">
        <v>90</v>
      </c>
      <c r="H213">
        <v>5</v>
      </c>
      <c r="I213" t="s">
        <v>19</v>
      </c>
      <c r="J213" t="s">
        <v>45</v>
      </c>
      <c r="K213">
        <v>70</v>
      </c>
      <c r="L213">
        <v>8000</v>
      </c>
      <c r="M213" t="s">
        <v>17</v>
      </c>
    </row>
    <row r="214" spans="1:13" x14ac:dyDescent="0.25">
      <c r="A214">
        <v>213</v>
      </c>
      <c r="B214" t="s">
        <v>13</v>
      </c>
      <c r="C214">
        <v>43</v>
      </c>
      <c r="D214" t="s">
        <v>34</v>
      </c>
      <c r="E214">
        <v>7.8</v>
      </c>
      <c r="F214">
        <v>8</v>
      </c>
      <c r="G214">
        <v>90</v>
      </c>
      <c r="H214">
        <v>5</v>
      </c>
      <c r="I214" t="s">
        <v>19</v>
      </c>
      <c r="J214" t="s">
        <v>45</v>
      </c>
      <c r="K214">
        <v>70</v>
      </c>
      <c r="L214">
        <v>8000</v>
      </c>
      <c r="M214" t="s">
        <v>17</v>
      </c>
    </row>
    <row r="215" spans="1:13" x14ac:dyDescent="0.25">
      <c r="A215">
        <v>214</v>
      </c>
      <c r="B215" t="s">
        <v>13</v>
      </c>
      <c r="C215">
        <v>43</v>
      </c>
      <c r="D215" t="s">
        <v>34</v>
      </c>
      <c r="E215">
        <v>7.8</v>
      </c>
      <c r="F215">
        <v>8</v>
      </c>
      <c r="G215">
        <v>90</v>
      </c>
      <c r="H215">
        <v>5</v>
      </c>
      <c r="I215" t="s">
        <v>19</v>
      </c>
      <c r="J215" t="s">
        <v>45</v>
      </c>
      <c r="K215">
        <v>70</v>
      </c>
      <c r="L215">
        <v>8000</v>
      </c>
      <c r="M215" t="s">
        <v>17</v>
      </c>
    </row>
    <row r="216" spans="1:13" x14ac:dyDescent="0.25">
      <c r="A216">
        <v>215</v>
      </c>
      <c r="B216" t="s">
        <v>13</v>
      </c>
      <c r="C216">
        <v>43</v>
      </c>
      <c r="D216" t="s">
        <v>34</v>
      </c>
      <c r="E216">
        <v>7.8</v>
      </c>
      <c r="F216">
        <v>8</v>
      </c>
      <c r="G216">
        <v>90</v>
      </c>
      <c r="H216">
        <v>5</v>
      </c>
      <c r="I216" t="s">
        <v>19</v>
      </c>
      <c r="J216" t="s">
        <v>45</v>
      </c>
      <c r="K216">
        <v>70</v>
      </c>
      <c r="L216">
        <v>8000</v>
      </c>
      <c r="M216" t="s">
        <v>17</v>
      </c>
    </row>
    <row r="217" spans="1:13" x14ac:dyDescent="0.25">
      <c r="A217">
        <v>216</v>
      </c>
      <c r="B217" t="s">
        <v>13</v>
      </c>
      <c r="C217">
        <v>43</v>
      </c>
      <c r="D217" t="s">
        <v>34</v>
      </c>
      <c r="E217">
        <v>7.8</v>
      </c>
      <c r="F217">
        <v>8</v>
      </c>
      <c r="G217">
        <v>90</v>
      </c>
      <c r="H217">
        <v>5</v>
      </c>
      <c r="I217" t="s">
        <v>19</v>
      </c>
      <c r="J217" t="s">
        <v>45</v>
      </c>
      <c r="K217">
        <v>70</v>
      </c>
      <c r="L217">
        <v>8000</v>
      </c>
      <c r="M217" t="s">
        <v>17</v>
      </c>
    </row>
    <row r="218" spans="1:13" x14ac:dyDescent="0.25">
      <c r="A218">
        <v>217</v>
      </c>
      <c r="B218" t="s">
        <v>13</v>
      </c>
      <c r="C218">
        <v>43</v>
      </c>
      <c r="D218" t="s">
        <v>34</v>
      </c>
      <c r="E218">
        <v>7.8</v>
      </c>
      <c r="F218">
        <v>8</v>
      </c>
      <c r="G218">
        <v>90</v>
      </c>
      <c r="H218">
        <v>5</v>
      </c>
      <c r="I218" t="s">
        <v>19</v>
      </c>
      <c r="J218" t="s">
        <v>45</v>
      </c>
      <c r="K218">
        <v>70</v>
      </c>
      <c r="L218">
        <v>8000</v>
      </c>
      <c r="M218" t="s">
        <v>17</v>
      </c>
    </row>
    <row r="219" spans="1:13" x14ac:dyDescent="0.25">
      <c r="A219">
        <v>218</v>
      </c>
      <c r="B219" t="s">
        <v>13</v>
      </c>
      <c r="C219">
        <v>43</v>
      </c>
      <c r="D219" t="s">
        <v>34</v>
      </c>
      <c r="E219">
        <v>7.8</v>
      </c>
      <c r="F219">
        <v>8</v>
      </c>
      <c r="G219">
        <v>90</v>
      </c>
      <c r="H219">
        <v>5</v>
      </c>
      <c r="I219" t="s">
        <v>19</v>
      </c>
      <c r="J219" t="s">
        <v>45</v>
      </c>
      <c r="K219">
        <v>70</v>
      </c>
      <c r="L219">
        <v>8000</v>
      </c>
      <c r="M219" t="s">
        <v>17</v>
      </c>
    </row>
    <row r="220" spans="1:13" x14ac:dyDescent="0.25">
      <c r="A220">
        <v>219</v>
      </c>
      <c r="B220" t="s">
        <v>13</v>
      </c>
      <c r="C220">
        <v>43</v>
      </c>
      <c r="D220" t="s">
        <v>34</v>
      </c>
      <c r="E220">
        <v>7.8</v>
      </c>
      <c r="F220">
        <v>8</v>
      </c>
      <c r="G220">
        <v>90</v>
      </c>
      <c r="H220">
        <v>5</v>
      </c>
      <c r="I220" t="s">
        <v>19</v>
      </c>
      <c r="J220" t="s">
        <v>45</v>
      </c>
      <c r="K220">
        <v>70</v>
      </c>
      <c r="L220">
        <v>8000</v>
      </c>
      <c r="M220" t="s">
        <v>24</v>
      </c>
    </row>
    <row r="221" spans="1:13" x14ac:dyDescent="0.25">
      <c r="A221">
        <v>220</v>
      </c>
      <c r="B221" t="s">
        <v>13</v>
      </c>
      <c r="C221">
        <v>43</v>
      </c>
      <c r="D221" t="s">
        <v>50</v>
      </c>
      <c r="E221">
        <v>6.5</v>
      </c>
      <c r="F221">
        <v>6</v>
      </c>
      <c r="G221">
        <v>45</v>
      </c>
      <c r="H221">
        <v>7</v>
      </c>
      <c r="I221" t="s">
        <v>15</v>
      </c>
      <c r="J221" t="s">
        <v>45</v>
      </c>
      <c r="K221">
        <v>72</v>
      </c>
      <c r="L221">
        <v>6000</v>
      </c>
      <c r="M221" t="s">
        <v>24</v>
      </c>
    </row>
    <row r="222" spans="1:13" x14ac:dyDescent="0.25">
      <c r="A222">
        <v>221</v>
      </c>
      <c r="B222" t="s">
        <v>28</v>
      </c>
      <c r="C222">
        <v>44</v>
      </c>
      <c r="D222" t="s">
        <v>26</v>
      </c>
      <c r="E222">
        <v>6.6</v>
      </c>
      <c r="F222">
        <v>7</v>
      </c>
      <c r="G222">
        <v>45</v>
      </c>
      <c r="H222">
        <v>4</v>
      </c>
      <c r="I222" t="s">
        <v>15</v>
      </c>
      <c r="J222" t="s">
        <v>51</v>
      </c>
      <c r="K222">
        <v>65</v>
      </c>
      <c r="L222">
        <v>6000</v>
      </c>
      <c r="M222" t="s">
        <v>25</v>
      </c>
    </row>
    <row r="223" spans="1:13" x14ac:dyDescent="0.25">
      <c r="A223">
        <v>222</v>
      </c>
      <c r="B223" t="s">
        <v>13</v>
      </c>
      <c r="C223">
        <v>44</v>
      </c>
      <c r="D223" t="s">
        <v>50</v>
      </c>
      <c r="E223">
        <v>6.4</v>
      </c>
      <c r="F223">
        <v>6</v>
      </c>
      <c r="G223">
        <v>45</v>
      </c>
      <c r="H223">
        <v>7</v>
      </c>
      <c r="I223" t="s">
        <v>15</v>
      </c>
      <c r="J223" t="s">
        <v>45</v>
      </c>
      <c r="K223">
        <v>72</v>
      </c>
      <c r="L223">
        <v>6000</v>
      </c>
      <c r="M223" t="s">
        <v>25</v>
      </c>
    </row>
    <row r="224" spans="1:13" x14ac:dyDescent="0.25">
      <c r="A224">
        <v>223</v>
      </c>
      <c r="B224" t="s">
        <v>13</v>
      </c>
      <c r="C224">
        <v>44</v>
      </c>
      <c r="D224" t="s">
        <v>50</v>
      </c>
      <c r="E224">
        <v>6.3</v>
      </c>
      <c r="F224">
        <v>6</v>
      </c>
      <c r="G224">
        <v>45</v>
      </c>
      <c r="H224">
        <v>7</v>
      </c>
      <c r="I224" t="s">
        <v>15</v>
      </c>
      <c r="J224" t="s">
        <v>45</v>
      </c>
      <c r="K224">
        <v>72</v>
      </c>
      <c r="L224">
        <v>6000</v>
      </c>
      <c r="M224" t="s">
        <v>25</v>
      </c>
    </row>
    <row r="225" spans="1:13" x14ac:dyDescent="0.25">
      <c r="A225">
        <v>224</v>
      </c>
      <c r="B225" t="s">
        <v>13</v>
      </c>
      <c r="C225">
        <v>44</v>
      </c>
      <c r="D225" t="s">
        <v>50</v>
      </c>
      <c r="E225">
        <v>6.4</v>
      </c>
      <c r="F225">
        <v>6</v>
      </c>
      <c r="G225">
        <v>45</v>
      </c>
      <c r="H225">
        <v>7</v>
      </c>
      <c r="I225" t="s">
        <v>15</v>
      </c>
      <c r="J225" t="s">
        <v>45</v>
      </c>
      <c r="K225">
        <v>72</v>
      </c>
      <c r="L225">
        <v>6000</v>
      </c>
      <c r="M225" t="s">
        <v>25</v>
      </c>
    </row>
    <row r="226" spans="1:13" x14ac:dyDescent="0.25">
      <c r="A226">
        <v>225</v>
      </c>
      <c r="B226" t="s">
        <v>28</v>
      </c>
      <c r="C226">
        <v>44</v>
      </c>
      <c r="D226" t="s">
        <v>26</v>
      </c>
      <c r="E226">
        <v>6.6</v>
      </c>
      <c r="F226">
        <v>7</v>
      </c>
      <c r="G226">
        <v>45</v>
      </c>
      <c r="H226">
        <v>4</v>
      </c>
      <c r="I226" t="s">
        <v>15</v>
      </c>
      <c r="J226" t="s">
        <v>51</v>
      </c>
      <c r="K226">
        <v>65</v>
      </c>
      <c r="L226">
        <v>6000</v>
      </c>
      <c r="M226" t="s">
        <v>25</v>
      </c>
    </row>
    <row r="227" spans="1:13" x14ac:dyDescent="0.25">
      <c r="A227">
        <v>226</v>
      </c>
      <c r="B227" t="s">
        <v>13</v>
      </c>
      <c r="C227">
        <v>44</v>
      </c>
      <c r="D227" t="s">
        <v>50</v>
      </c>
      <c r="E227">
        <v>6.3</v>
      </c>
      <c r="F227">
        <v>6</v>
      </c>
      <c r="G227">
        <v>45</v>
      </c>
      <c r="H227">
        <v>7</v>
      </c>
      <c r="I227" t="s">
        <v>15</v>
      </c>
      <c r="J227" t="s">
        <v>45</v>
      </c>
      <c r="K227">
        <v>72</v>
      </c>
      <c r="L227">
        <v>6000</v>
      </c>
      <c r="M227" t="s">
        <v>25</v>
      </c>
    </row>
    <row r="228" spans="1:13" x14ac:dyDescent="0.25">
      <c r="A228">
        <v>227</v>
      </c>
      <c r="B228" t="s">
        <v>28</v>
      </c>
      <c r="C228">
        <v>44</v>
      </c>
      <c r="D228" t="s">
        <v>26</v>
      </c>
      <c r="E228">
        <v>6.6</v>
      </c>
      <c r="F228">
        <v>7</v>
      </c>
      <c r="G228">
        <v>45</v>
      </c>
      <c r="H228">
        <v>4</v>
      </c>
      <c r="I228" t="s">
        <v>15</v>
      </c>
      <c r="J228" t="s">
        <v>51</v>
      </c>
      <c r="K228">
        <v>65</v>
      </c>
      <c r="L228">
        <v>6000</v>
      </c>
      <c r="M228" t="s">
        <v>25</v>
      </c>
    </row>
    <row r="229" spans="1:13" x14ac:dyDescent="0.25">
      <c r="A229">
        <v>228</v>
      </c>
      <c r="B229" t="s">
        <v>13</v>
      </c>
      <c r="C229">
        <v>44</v>
      </c>
      <c r="D229" t="s">
        <v>50</v>
      </c>
      <c r="E229">
        <v>6.3</v>
      </c>
      <c r="F229">
        <v>6</v>
      </c>
      <c r="G229">
        <v>45</v>
      </c>
      <c r="H229">
        <v>7</v>
      </c>
      <c r="I229" t="s">
        <v>15</v>
      </c>
      <c r="J229" t="s">
        <v>45</v>
      </c>
      <c r="K229">
        <v>72</v>
      </c>
      <c r="L229">
        <v>6000</v>
      </c>
      <c r="M229" t="s">
        <v>25</v>
      </c>
    </row>
    <row r="230" spans="1:13" x14ac:dyDescent="0.25">
      <c r="A230">
        <v>229</v>
      </c>
      <c r="B230" t="s">
        <v>28</v>
      </c>
      <c r="C230">
        <v>44</v>
      </c>
      <c r="D230" t="s">
        <v>26</v>
      </c>
      <c r="E230">
        <v>6.6</v>
      </c>
      <c r="F230">
        <v>7</v>
      </c>
      <c r="G230">
        <v>45</v>
      </c>
      <c r="H230">
        <v>4</v>
      </c>
      <c r="I230" t="s">
        <v>15</v>
      </c>
      <c r="J230" t="s">
        <v>51</v>
      </c>
      <c r="K230">
        <v>65</v>
      </c>
      <c r="L230">
        <v>6000</v>
      </c>
      <c r="M230" t="s">
        <v>25</v>
      </c>
    </row>
    <row r="231" spans="1:13" x14ac:dyDescent="0.25">
      <c r="A231">
        <v>230</v>
      </c>
      <c r="B231" t="s">
        <v>13</v>
      </c>
      <c r="C231">
        <v>44</v>
      </c>
      <c r="D231" t="s">
        <v>50</v>
      </c>
      <c r="E231">
        <v>6.3</v>
      </c>
      <c r="F231">
        <v>6</v>
      </c>
      <c r="G231">
        <v>45</v>
      </c>
      <c r="H231">
        <v>7</v>
      </c>
      <c r="I231" t="s">
        <v>15</v>
      </c>
      <c r="J231" t="s">
        <v>45</v>
      </c>
      <c r="K231">
        <v>72</v>
      </c>
      <c r="L231">
        <v>6000</v>
      </c>
      <c r="M231" t="s">
        <v>25</v>
      </c>
    </row>
    <row r="232" spans="1:13" x14ac:dyDescent="0.25">
      <c r="A232">
        <v>231</v>
      </c>
      <c r="B232" t="s">
        <v>28</v>
      </c>
      <c r="C232">
        <v>44</v>
      </c>
      <c r="D232" t="s">
        <v>26</v>
      </c>
      <c r="E232">
        <v>6.6</v>
      </c>
      <c r="F232">
        <v>7</v>
      </c>
      <c r="G232">
        <v>45</v>
      </c>
      <c r="H232">
        <v>4</v>
      </c>
      <c r="I232" t="s">
        <v>15</v>
      </c>
      <c r="J232" t="s">
        <v>51</v>
      </c>
      <c r="K232">
        <v>65</v>
      </c>
      <c r="L232">
        <v>6000</v>
      </c>
      <c r="M232" t="s">
        <v>25</v>
      </c>
    </row>
    <row r="233" spans="1:13" x14ac:dyDescent="0.25">
      <c r="A233">
        <v>232</v>
      </c>
      <c r="B233" t="s">
        <v>13</v>
      </c>
      <c r="C233">
        <v>44</v>
      </c>
      <c r="D233" t="s">
        <v>50</v>
      </c>
      <c r="E233">
        <v>6.3</v>
      </c>
      <c r="F233">
        <v>6</v>
      </c>
      <c r="G233">
        <v>45</v>
      </c>
      <c r="H233">
        <v>7</v>
      </c>
      <c r="I233" t="s">
        <v>15</v>
      </c>
      <c r="J233" t="s">
        <v>45</v>
      </c>
      <c r="K233">
        <v>72</v>
      </c>
      <c r="L233">
        <v>6000</v>
      </c>
      <c r="M233" t="s">
        <v>25</v>
      </c>
    </row>
    <row r="234" spans="1:13" x14ac:dyDescent="0.25">
      <c r="A234">
        <v>233</v>
      </c>
      <c r="B234" t="s">
        <v>28</v>
      </c>
      <c r="C234">
        <v>44</v>
      </c>
      <c r="D234" t="s">
        <v>26</v>
      </c>
      <c r="E234">
        <v>6.6</v>
      </c>
      <c r="F234">
        <v>7</v>
      </c>
      <c r="G234">
        <v>45</v>
      </c>
      <c r="H234">
        <v>4</v>
      </c>
      <c r="I234" t="s">
        <v>15</v>
      </c>
      <c r="J234" t="s">
        <v>51</v>
      </c>
      <c r="K234">
        <v>65</v>
      </c>
      <c r="L234">
        <v>6000</v>
      </c>
      <c r="M234" t="s">
        <v>25</v>
      </c>
    </row>
    <row r="235" spans="1:13" x14ac:dyDescent="0.25">
      <c r="A235">
        <v>234</v>
      </c>
      <c r="B235" t="s">
        <v>13</v>
      </c>
      <c r="C235">
        <v>44</v>
      </c>
      <c r="D235" t="s">
        <v>50</v>
      </c>
      <c r="E235">
        <v>6.3</v>
      </c>
      <c r="F235">
        <v>6</v>
      </c>
      <c r="G235">
        <v>45</v>
      </c>
      <c r="H235">
        <v>7</v>
      </c>
      <c r="I235" t="s">
        <v>15</v>
      </c>
      <c r="J235" t="s">
        <v>45</v>
      </c>
      <c r="K235">
        <v>72</v>
      </c>
      <c r="L235">
        <v>6000</v>
      </c>
      <c r="M235" t="s">
        <v>25</v>
      </c>
    </row>
    <row r="236" spans="1:13" x14ac:dyDescent="0.25">
      <c r="A236">
        <v>235</v>
      </c>
      <c r="B236" t="s">
        <v>28</v>
      </c>
      <c r="C236">
        <v>44</v>
      </c>
      <c r="D236" t="s">
        <v>26</v>
      </c>
      <c r="E236">
        <v>6.6</v>
      </c>
      <c r="F236">
        <v>7</v>
      </c>
      <c r="G236">
        <v>45</v>
      </c>
      <c r="H236">
        <v>4</v>
      </c>
      <c r="I236" t="s">
        <v>15</v>
      </c>
      <c r="J236" t="s">
        <v>51</v>
      </c>
      <c r="K236">
        <v>65</v>
      </c>
      <c r="L236">
        <v>6000</v>
      </c>
      <c r="M236" t="s">
        <v>25</v>
      </c>
    </row>
    <row r="237" spans="1:13" x14ac:dyDescent="0.25">
      <c r="A237">
        <v>236</v>
      </c>
      <c r="B237" t="s">
        <v>13</v>
      </c>
      <c r="C237">
        <v>44</v>
      </c>
      <c r="D237" t="s">
        <v>50</v>
      </c>
      <c r="E237">
        <v>6.3</v>
      </c>
      <c r="F237">
        <v>6</v>
      </c>
      <c r="G237">
        <v>45</v>
      </c>
      <c r="H237">
        <v>7</v>
      </c>
      <c r="I237" t="s">
        <v>15</v>
      </c>
      <c r="J237" t="s">
        <v>45</v>
      </c>
      <c r="K237">
        <v>72</v>
      </c>
      <c r="L237">
        <v>6000</v>
      </c>
      <c r="M237" t="s">
        <v>25</v>
      </c>
    </row>
    <row r="238" spans="1:13" x14ac:dyDescent="0.25">
      <c r="A238">
        <v>237</v>
      </c>
      <c r="B238" t="s">
        <v>13</v>
      </c>
      <c r="C238">
        <v>44</v>
      </c>
      <c r="D238" t="s">
        <v>50</v>
      </c>
      <c r="E238">
        <v>6.4</v>
      </c>
      <c r="F238">
        <v>6</v>
      </c>
      <c r="G238">
        <v>45</v>
      </c>
      <c r="H238">
        <v>7</v>
      </c>
      <c r="I238" t="s">
        <v>15</v>
      </c>
      <c r="J238" t="s">
        <v>45</v>
      </c>
      <c r="K238">
        <v>72</v>
      </c>
      <c r="L238">
        <v>6000</v>
      </c>
      <c r="M238" t="s">
        <v>25</v>
      </c>
    </row>
    <row r="239" spans="1:13" x14ac:dyDescent="0.25">
      <c r="A239">
        <v>238</v>
      </c>
      <c r="B239" t="s">
        <v>28</v>
      </c>
      <c r="C239">
        <v>44</v>
      </c>
      <c r="D239" t="s">
        <v>26</v>
      </c>
      <c r="E239">
        <v>6.5</v>
      </c>
      <c r="F239">
        <v>7</v>
      </c>
      <c r="G239">
        <v>45</v>
      </c>
      <c r="H239">
        <v>4</v>
      </c>
      <c r="I239" t="s">
        <v>15</v>
      </c>
      <c r="J239" t="s">
        <v>51</v>
      </c>
      <c r="K239">
        <v>65</v>
      </c>
      <c r="L239">
        <v>6000</v>
      </c>
      <c r="M239" t="s">
        <v>25</v>
      </c>
    </row>
    <row r="240" spans="1:13" x14ac:dyDescent="0.25">
      <c r="A240">
        <v>239</v>
      </c>
      <c r="B240" t="s">
        <v>13</v>
      </c>
      <c r="C240">
        <v>44</v>
      </c>
      <c r="D240" t="s">
        <v>50</v>
      </c>
      <c r="E240">
        <v>6.3</v>
      </c>
      <c r="F240">
        <v>6</v>
      </c>
      <c r="G240">
        <v>45</v>
      </c>
      <c r="H240">
        <v>7</v>
      </c>
      <c r="I240" t="s">
        <v>15</v>
      </c>
      <c r="J240" t="s">
        <v>45</v>
      </c>
      <c r="K240">
        <v>72</v>
      </c>
      <c r="L240">
        <v>6000</v>
      </c>
      <c r="M240" t="s">
        <v>25</v>
      </c>
    </row>
    <row r="241" spans="1:13" x14ac:dyDescent="0.25">
      <c r="A241">
        <v>240</v>
      </c>
      <c r="B241" t="s">
        <v>13</v>
      </c>
      <c r="C241">
        <v>44</v>
      </c>
      <c r="D241" t="s">
        <v>50</v>
      </c>
      <c r="E241">
        <v>6.4</v>
      </c>
      <c r="F241">
        <v>6</v>
      </c>
      <c r="G241">
        <v>45</v>
      </c>
      <c r="H241">
        <v>7</v>
      </c>
      <c r="I241" t="s">
        <v>15</v>
      </c>
      <c r="J241" t="s">
        <v>45</v>
      </c>
      <c r="K241">
        <v>72</v>
      </c>
      <c r="L241">
        <v>6000</v>
      </c>
      <c r="M241" t="s">
        <v>25</v>
      </c>
    </row>
    <row r="242" spans="1:13" x14ac:dyDescent="0.25">
      <c r="A242">
        <v>241</v>
      </c>
      <c r="B242" t="s">
        <v>28</v>
      </c>
      <c r="C242">
        <v>44</v>
      </c>
      <c r="D242" t="s">
        <v>26</v>
      </c>
      <c r="E242">
        <v>6.5</v>
      </c>
      <c r="F242">
        <v>7</v>
      </c>
      <c r="G242">
        <v>45</v>
      </c>
      <c r="H242">
        <v>4</v>
      </c>
      <c r="I242" t="s">
        <v>15</v>
      </c>
      <c r="J242" t="s">
        <v>51</v>
      </c>
      <c r="K242">
        <v>65</v>
      </c>
      <c r="L242">
        <v>6000</v>
      </c>
      <c r="M242" t="s">
        <v>25</v>
      </c>
    </row>
    <row r="243" spans="1:13" x14ac:dyDescent="0.25">
      <c r="A243">
        <v>242</v>
      </c>
      <c r="B243" t="s">
        <v>13</v>
      </c>
      <c r="C243">
        <v>44</v>
      </c>
      <c r="D243" t="s">
        <v>50</v>
      </c>
      <c r="E243">
        <v>6.3</v>
      </c>
      <c r="F243">
        <v>6</v>
      </c>
      <c r="G243">
        <v>45</v>
      </c>
      <c r="H243">
        <v>7</v>
      </c>
      <c r="I243" t="s">
        <v>15</v>
      </c>
      <c r="J243" t="s">
        <v>45</v>
      </c>
      <c r="K243">
        <v>72</v>
      </c>
      <c r="L243">
        <v>6000</v>
      </c>
      <c r="M243" t="s">
        <v>25</v>
      </c>
    </row>
    <row r="244" spans="1:13" x14ac:dyDescent="0.25">
      <c r="A244">
        <v>243</v>
      </c>
      <c r="B244" t="s">
        <v>13</v>
      </c>
      <c r="C244">
        <v>44</v>
      </c>
      <c r="D244" t="s">
        <v>50</v>
      </c>
      <c r="E244">
        <v>6.4</v>
      </c>
      <c r="F244">
        <v>6</v>
      </c>
      <c r="G244">
        <v>45</v>
      </c>
      <c r="H244">
        <v>7</v>
      </c>
      <c r="I244" t="s">
        <v>15</v>
      </c>
      <c r="J244" t="s">
        <v>45</v>
      </c>
      <c r="K244">
        <v>72</v>
      </c>
      <c r="L244">
        <v>6000</v>
      </c>
      <c r="M244" t="s">
        <v>25</v>
      </c>
    </row>
    <row r="245" spans="1:13" x14ac:dyDescent="0.25">
      <c r="A245">
        <v>244</v>
      </c>
      <c r="B245" t="s">
        <v>28</v>
      </c>
      <c r="C245">
        <v>44</v>
      </c>
      <c r="D245" t="s">
        <v>26</v>
      </c>
      <c r="E245">
        <v>6.5</v>
      </c>
      <c r="F245">
        <v>7</v>
      </c>
      <c r="G245">
        <v>45</v>
      </c>
      <c r="H245">
        <v>4</v>
      </c>
      <c r="I245" t="s">
        <v>15</v>
      </c>
      <c r="J245" t="s">
        <v>51</v>
      </c>
      <c r="K245">
        <v>65</v>
      </c>
      <c r="L245">
        <v>6000</v>
      </c>
      <c r="M245" t="s">
        <v>25</v>
      </c>
    </row>
    <row r="246" spans="1:13" x14ac:dyDescent="0.25">
      <c r="A246">
        <v>245</v>
      </c>
      <c r="B246" t="s">
        <v>13</v>
      </c>
      <c r="C246">
        <v>44</v>
      </c>
      <c r="D246" t="s">
        <v>50</v>
      </c>
      <c r="E246">
        <v>6.3</v>
      </c>
      <c r="F246">
        <v>6</v>
      </c>
      <c r="G246">
        <v>45</v>
      </c>
      <c r="H246">
        <v>7</v>
      </c>
      <c r="I246" t="s">
        <v>15</v>
      </c>
      <c r="J246" t="s">
        <v>45</v>
      </c>
      <c r="K246">
        <v>72</v>
      </c>
      <c r="L246">
        <v>6000</v>
      </c>
      <c r="M246" t="s">
        <v>25</v>
      </c>
    </row>
    <row r="247" spans="1:13" x14ac:dyDescent="0.25">
      <c r="A247">
        <v>246</v>
      </c>
      <c r="B247" t="s">
        <v>28</v>
      </c>
      <c r="C247">
        <v>44</v>
      </c>
      <c r="D247" t="s">
        <v>26</v>
      </c>
      <c r="E247">
        <v>6.5</v>
      </c>
      <c r="F247">
        <v>7</v>
      </c>
      <c r="G247">
        <v>45</v>
      </c>
      <c r="H247">
        <v>4</v>
      </c>
      <c r="I247" t="s">
        <v>15</v>
      </c>
      <c r="J247" t="s">
        <v>51</v>
      </c>
      <c r="K247">
        <v>65</v>
      </c>
      <c r="L247">
        <v>6000</v>
      </c>
      <c r="M247" t="s">
        <v>25</v>
      </c>
    </row>
    <row r="248" spans="1:13" x14ac:dyDescent="0.25">
      <c r="A248">
        <v>247</v>
      </c>
      <c r="B248" t="s">
        <v>13</v>
      </c>
      <c r="C248">
        <v>44</v>
      </c>
      <c r="D248" t="s">
        <v>50</v>
      </c>
      <c r="E248">
        <v>6.3</v>
      </c>
      <c r="F248">
        <v>6</v>
      </c>
      <c r="G248">
        <v>45</v>
      </c>
      <c r="H248">
        <v>7</v>
      </c>
      <c r="I248" t="s">
        <v>15</v>
      </c>
      <c r="J248" t="s">
        <v>45</v>
      </c>
      <c r="K248">
        <v>72</v>
      </c>
      <c r="L248">
        <v>6000</v>
      </c>
      <c r="M248" t="s">
        <v>25</v>
      </c>
    </row>
    <row r="249" spans="1:13" x14ac:dyDescent="0.25">
      <c r="A249">
        <v>248</v>
      </c>
      <c r="B249" t="s">
        <v>13</v>
      </c>
      <c r="C249">
        <v>44</v>
      </c>
      <c r="D249" t="s">
        <v>34</v>
      </c>
      <c r="E249">
        <v>6.8</v>
      </c>
      <c r="F249">
        <v>7</v>
      </c>
      <c r="G249">
        <v>45</v>
      </c>
      <c r="H249">
        <v>7</v>
      </c>
      <c r="I249" t="s">
        <v>15</v>
      </c>
      <c r="J249" t="s">
        <v>45</v>
      </c>
      <c r="K249">
        <v>78</v>
      </c>
      <c r="L249">
        <v>5000</v>
      </c>
      <c r="M249" t="s">
        <v>25</v>
      </c>
    </row>
    <row r="250" spans="1:13" x14ac:dyDescent="0.25">
      <c r="A250">
        <v>249</v>
      </c>
      <c r="B250" t="s">
        <v>13</v>
      </c>
      <c r="C250">
        <v>44</v>
      </c>
      <c r="D250" t="s">
        <v>50</v>
      </c>
      <c r="E250">
        <v>6.4</v>
      </c>
      <c r="F250">
        <v>6</v>
      </c>
      <c r="G250">
        <v>45</v>
      </c>
      <c r="H250">
        <v>7</v>
      </c>
      <c r="I250" t="s">
        <v>15</v>
      </c>
      <c r="J250" t="s">
        <v>45</v>
      </c>
      <c r="K250">
        <v>72</v>
      </c>
      <c r="L250">
        <v>6000</v>
      </c>
      <c r="M250" t="s">
        <v>17</v>
      </c>
    </row>
    <row r="251" spans="1:13" x14ac:dyDescent="0.25">
      <c r="A251">
        <v>250</v>
      </c>
      <c r="B251" t="s">
        <v>13</v>
      </c>
      <c r="C251">
        <v>44</v>
      </c>
      <c r="D251" t="s">
        <v>50</v>
      </c>
      <c r="E251">
        <v>6.5</v>
      </c>
      <c r="F251">
        <v>6</v>
      </c>
      <c r="G251">
        <v>45</v>
      </c>
      <c r="H251">
        <v>7</v>
      </c>
      <c r="I251" t="s">
        <v>15</v>
      </c>
      <c r="J251" t="s">
        <v>45</v>
      </c>
      <c r="K251">
        <v>72</v>
      </c>
      <c r="L251">
        <v>6000</v>
      </c>
      <c r="M251" t="s">
        <v>17</v>
      </c>
    </row>
    <row r="252" spans="1:13" x14ac:dyDescent="0.25">
      <c r="A252">
        <v>251</v>
      </c>
      <c r="B252" t="s">
        <v>28</v>
      </c>
      <c r="C252">
        <v>45</v>
      </c>
      <c r="D252" t="s">
        <v>26</v>
      </c>
      <c r="E252">
        <v>6.8</v>
      </c>
      <c r="F252">
        <v>7</v>
      </c>
      <c r="G252">
        <v>30</v>
      </c>
      <c r="H252">
        <v>6</v>
      </c>
      <c r="I252" t="s">
        <v>15</v>
      </c>
      <c r="J252" t="s">
        <v>51</v>
      </c>
      <c r="K252">
        <v>65</v>
      </c>
      <c r="L252">
        <v>6000</v>
      </c>
      <c r="M252" t="s">
        <v>25</v>
      </c>
    </row>
    <row r="253" spans="1:13" x14ac:dyDescent="0.25">
      <c r="A253">
        <v>252</v>
      </c>
      <c r="B253" t="s">
        <v>28</v>
      </c>
      <c r="C253">
        <v>45</v>
      </c>
      <c r="D253" t="s">
        <v>26</v>
      </c>
      <c r="E253">
        <v>6.8</v>
      </c>
      <c r="F253">
        <v>7</v>
      </c>
      <c r="G253">
        <v>30</v>
      </c>
      <c r="H253">
        <v>6</v>
      </c>
      <c r="I253" t="s">
        <v>15</v>
      </c>
      <c r="J253" t="s">
        <v>51</v>
      </c>
      <c r="K253">
        <v>65</v>
      </c>
      <c r="L253">
        <v>6000</v>
      </c>
      <c r="M253" t="s">
        <v>25</v>
      </c>
    </row>
    <row r="254" spans="1:13" x14ac:dyDescent="0.25">
      <c r="A254">
        <v>253</v>
      </c>
      <c r="B254" t="s">
        <v>28</v>
      </c>
      <c r="C254">
        <v>45</v>
      </c>
      <c r="D254" t="s">
        <v>26</v>
      </c>
      <c r="E254">
        <v>6.5</v>
      </c>
      <c r="F254">
        <v>7</v>
      </c>
      <c r="G254">
        <v>45</v>
      </c>
      <c r="H254">
        <v>4</v>
      </c>
      <c r="I254" t="s">
        <v>15</v>
      </c>
      <c r="J254" t="s">
        <v>51</v>
      </c>
      <c r="K254">
        <v>65</v>
      </c>
      <c r="L254">
        <v>6000</v>
      </c>
      <c r="M254" t="s">
        <v>25</v>
      </c>
    </row>
    <row r="255" spans="1:13" x14ac:dyDescent="0.25">
      <c r="A255">
        <v>254</v>
      </c>
      <c r="B255" t="s">
        <v>28</v>
      </c>
      <c r="C255">
        <v>45</v>
      </c>
      <c r="D255" t="s">
        <v>26</v>
      </c>
      <c r="E255">
        <v>6.5</v>
      </c>
      <c r="F255">
        <v>7</v>
      </c>
      <c r="G255">
        <v>45</v>
      </c>
      <c r="H255">
        <v>4</v>
      </c>
      <c r="I255" t="s">
        <v>15</v>
      </c>
      <c r="J255" t="s">
        <v>51</v>
      </c>
      <c r="K255">
        <v>65</v>
      </c>
      <c r="L255">
        <v>6000</v>
      </c>
      <c r="M255" t="s">
        <v>25</v>
      </c>
    </row>
    <row r="256" spans="1:13" x14ac:dyDescent="0.25">
      <c r="A256">
        <v>255</v>
      </c>
      <c r="B256" t="s">
        <v>28</v>
      </c>
      <c r="C256">
        <v>45</v>
      </c>
      <c r="D256" t="s">
        <v>26</v>
      </c>
      <c r="E256">
        <v>6.5</v>
      </c>
      <c r="F256">
        <v>7</v>
      </c>
      <c r="G256">
        <v>45</v>
      </c>
      <c r="H256">
        <v>4</v>
      </c>
      <c r="I256" t="s">
        <v>15</v>
      </c>
      <c r="J256" t="s">
        <v>51</v>
      </c>
      <c r="K256">
        <v>65</v>
      </c>
      <c r="L256">
        <v>6000</v>
      </c>
      <c r="M256" t="s">
        <v>25</v>
      </c>
    </row>
    <row r="257" spans="1:13" x14ac:dyDescent="0.25">
      <c r="A257">
        <v>256</v>
      </c>
      <c r="B257" t="s">
        <v>28</v>
      </c>
      <c r="C257">
        <v>45</v>
      </c>
      <c r="D257" t="s">
        <v>26</v>
      </c>
      <c r="E257">
        <v>6.5</v>
      </c>
      <c r="F257">
        <v>7</v>
      </c>
      <c r="G257">
        <v>45</v>
      </c>
      <c r="H257">
        <v>4</v>
      </c>
      <c r="I257" t="s">
        <v>15</v>
      </c>
      <c r="J257" t="s">
        <v>51</v>
      </c>
      <c r="K257">
        <v>65</v>
      </c>
      <c r="L257">
        <v>6000</v>
      </c>
      <c r="M257" t="s">
        <v>25</v>
      </c>
    </row>
    <row r="258" spans="1:13" x14ac:dyDescent="0.25">
      <c r="A258">
        <v>257</v>
      </c>
      <c r="B258" t="s">
        <v>28</v>
      </c>
      <c r="C258">
        <v>45</v>
      </c>
      <c r="D258" t="s">
        <v>26</v>
      </c>
      <c r="E258">
        <v>6.6</v>
      </c>
      <c r="F258">
        <v>7</v>
      </c>
      <c r="G258">
        <v>45</v>
      </c>
      <c r="H258">
        <v>4</v>
      </c>
      <c r="I258" t="s">
        <v>15</v>
      </c>
      <c r="J258" t="s">
        <v>51</v>
      </c>
      <c r="K258">
        <v>65</v>
      </c>
      <c r="L258">
        <v>6000</v>
      </c>
      <c r="M258" t="s">
        <v>25</v>
      </c>
    </row>
    <row r="259" spans="1:13" x14ac:dyDescent="0.25">
      <c r="A259">
        <v>258</v>
      </c>
      <c r="B259" t="s">
        <v>28</v>
      </c>
      <c r="C259">
        <v>45</v>
      </c>
      <c r="D259" t="s">
        <v>26</v>
      </c>
      <c r="E259">
        <v>6.6</v>
      </c>
      <c r="F259">
        <v>7</v>
      </c>
      <c r="G259">
        <v>45</v>
      </c>
      <c r="H259">
        <v>4</v>
      </c>
      <c r="I259" t="s">
        <v>15</v>
      </c>
      <c r="J259" t="s">
        <v>51</v>
      </c>
      <c r="K259">
        <v>65</v>
      </c>
      <c r="L259">
        <v>6000</v>
      </c>
      <c r="M259" t="s">
        <v>25</v>
      </c>
    </row>
    <row r="260" spans="1:13" x14ac:dyDescent="0.25">
      <c r="A260">
        <v>259</v>
      </c>
      <c r="B260" t="s">
        <v>28</v>
      </c>
      <c r="C260">
        <v>45</v>
      </c>
      <c r="D260" t="s">
        <v>26</v>
      </c>
      <c r="E260">
        <v>6.6</v>
      </c>
      <c r="F260">
        <v>7</v>
      </c>
      <c r="G260">
        <v>45</v>
      </c>
      <c r="H260">
        <v>4</v>
      </c>
      <c r="I260" t="s">
        <v>15</v>
      </c>
      <c r="J260" t="s">
        <v>51</v>
      </c>
      <c r="K260">
        <v>65</v>
      </c>
      <c r="L260">
        <v>6000</v>
      </c>
      <c r="M260" t="s">
        <v>25</v>
      </c>
    </row>
    <row r="261" spans="1:13" x14ac:dyDescent="0.25">
      <c r="A261">
        <v>260</v>
      </c>
      <c r="B261" t="s">
        <v>28</v>
      </c>
      <c r="C261">
        <v>45</v>
      </c>
      <c r="D261" t="s">
        <v>26</v>
      </c>
      <c r="E261">
        <v>6.6</v>
      </c>
      <c r="F261">
        <v>7</v>
      </c>
      <c r="G261">
        <v>45</v>
      </c>
      <c r="H261">
        <v>4</v>
      </c>
      <c r="I261" t="s">
        <v>15</v>
      </c>
      <c r="J261" t="s">
        <v>51</v>
      </c>
      <c r="K261">
        <v>65</v>
      </c>
      <c r="L261">
        <v>6000</v>
      </c>
      <c r="M261" t="s">
        <v>25</v>
      </c>
    </row>
    <row r="262" spans="1:13" x14ac:dyDescent="0.25">
      <c r="A262">
        <v>261</v>
      </c>
      <c r="B262" t="s">
        <v>28</v>
      </c>
      <c r="C262">
        <v>45</v>
      </c>
      <c r="D262" t="s">
        <v>26</v>
      </c>
      <c r="E262">
        <v>6.6</v>
      </c>
      <c r="F262">
        <v>7</v>
      </c>
      <c r="G262">
        <v>45</v>
      </c>
      <c r="H262">
        <v>4</v>
      </c>
      <c r="I262" t="s">
        <v>15</v>
      </c>
      <c r="J262" t="s">
        <v>51</v>
      </c>
      <c r="K262">
        <v>65</v>
      </c>
      <c r="L262">
        <v>6000</v>
      </c>
      <c r="M262" t="s">
        <v>25</v>
      </c>
    </row>
    <row r="263" spans="1:13" x14ac:dyDescent="0.25">
      <c r="A263">
        <v>262</v>
      </c>
      <c r="B263" t="s">
        <v>28</v>
      </c>
      <c r="C263">
        <v>45</v>
      </c>
      <c r="D263" t="s">
        <v>26</v>
      </c>
      <c r="E263">
        <v>6.6</v>
      </c>
      <c r="F263">
        <v>7</v>
      </c>
      <c r="G263">
        <v>45</v>
      </c>
      <c r="H263">
        <v>4</v>
      </c>
      <c r="I263" t="s">
        <v>15</v>
      </c>
      <c r="J263" t="s">
        <v>51</v>
      </c>
      <c r="K263">
        <v>65</v>
      </c>
      <c r="L263">
        <v>6000</v>
      </c>
      <c r="M263" t="s">
        <v>17</v>
      </c>
    </row>
    <row r="264" spans="1:13" x14ac:dyDescent="0.25">
      <c r="A264">
        <v>263</v>
      </c>
      <c r="B264" t="s">
        <v>28</v>
      </c>
      <c r="C264">
        <v>45</v>
      </c>
      <c r="D264" t="s">
        <v>26</v>
      </c>
      <c r="E264">
        <v>6.6</v>
      </c>
      <c r="F264">
        <v>7</v>
      </c>
      <c r="G264">
        <v>45</v>
      </c>
      <c r="H264">
        <v>4</v>
      </c>
      <c r="I264" t="s">
        <v>15</v>
      </c>
      <c r="J264" t="s">
        <v>51</v>
      </c>
      <c r="K264">
        <v>65</v>
      </c>
      <c r="L264">
        <v>6000</v>
      </c>
      <c r="M264" t="s">
        <v>17</v>
      </c>
    </row>
    <row r="265" spans="1:13" x14ac:dyDescent="0.25">
      <c r="A265">
        <v>264</v>
      </c>
      <c r="B265" t="s">
        <v>28</v>
      </c>
      <c r="C265">
        <v>45</v>
      </c>
      <c r="D265" t="s">
        <v>53</v>
      </c>
      <c r="E265">
        <v>6.9</v>
      </c>
      <c r="F265">
        <v>7</v>
      </c>
      <c r="G265">
        <v>55</v>
      </c>
      <c r="H265">
        <v>5</v>
      </c>
      <c r="I265" t="s">
        <v>15</v>
      </c>
      <c r="J265" t="s">
        <v>49</v>
      </c>
      <c r="K265">
        <v>75</v>
      </c>
      <c r="L265">
        <v>5500</v>
      </c>
      <c r="M265" t="s">
        <v>17</v>
      </c>
    </row>
    <row r="266" spans="1:13" x14ac:dyDescent="0.25">
      <c r="A266">
        <v>265</v>
      </c>
      <c r="B266" t="s">
        <v>13</v>
      </c>
      <c r="C266">
        <v>48</v>
      </c>
      <c r="D266" t="s">
        <v>18</v>
      </c>
      <c r="E266">
        <v>7.3</v>
      </c>
      <c r="F266">
        <v>7</v>
      </c>
      <c r="G266">
        <v>65</v>
      </c>
      <c r="H266">
        <v>5</v>
      </c>
      <c r="I266" t="s">
        <v>22</v>
      </c>
      <c r="J266" t="s">
        <v>54</v>
      </c>
      <c r="K266">
        <v>83</v>
      </c>
      <c r="L266">
        <v>3500</v>
      </c>
      <c r="M266" t="s">
        <v>25</v>
      </c>
    </row>
    <row r="267" spans="1:13" x14ac:dyDescent="0.25">
      <c r="A267">
        <v>266</v>
      </c>
      <c r="B267" t="s">
        <v>28</v>
      </c>
      <c r="C267">
        <v>48</v>
      </c>
      <c r="D267" t="s">
        <v>29</v>
      </c>
      <c r="E267">
        <v>5.9</v>
      </c>
      <c r="F267">
        <v>6</v>
      </c>
      <c r="G267">
        <v>90</v>
      </c>
      <c r="H267">
        <v>8</v>
      </c>
      <c r="I267" t="s">
        <v>15</v>
      </c>
      <c r="J267" t="s">
        <v>55</v>
      </c>
      <c r="K267">
        <v>75</v>
      </c>
      <c r="L267">
        <v>10000</v>
      </c>
      <c r="M267" t="s">
        <v>24</v>
      </c>
    </row>
    <row r="268" spans="1:13" x14ac:dyDescent="0.25">
      <c r="A268">
        <v>267</v>
      </c>
      <c r="B268" t="s">
        <v>13</v>
      </c>
      <c r="C268">
        <v>48</v>
      </c>
      <c r="D268" t="s">
        <v>18</v>
      </c>
      <c r="E268">
        <v>7.3</v>
      </c>
      <c r="F268">
        <v>7</v>
      </c>
      <c r="G268">
        <v>65</v>
      </c>
      <c r="H268">
        <v>5</v>
      </c>
      <c r="I268" t="s">
        <v>22</v>
      </c>
      <c r="J268" t="s">
        <v>54</v>
      </c>
      <c r="K268">
        <v>83</v>
      </c>
      <c r="L268">
        <v>3500</v>
      </c>
      <c r="M268" t="s">
        <v>25</v>
      </c>
    </row>
    <row r="269" spans="1:13" x14ac:dyDescent="0.25">
      <c r="A269">
        <v>268</v>
      </c>
      <c r="B269" t="s">
        <v>28</v>
      </c>
      <c r="C269">
        <v>49</v>
      </c>
      <c r="D269" t="s">
        <v>29</v>
      </c>
      <c r="E269">
        <v>6.2</v>
      </c>
      <c r="F269">
        <v>6</v>
      </c>
      <c r="G269">
        <v>90</v>
      </c>
      <c r="H269">
        <v>8</v>
      </c>
      <c r="I269" t="s">
        <v>15</v>
      </c>
      <c r="J269" t="s">
        <v>55</v>
      </c>
      <c r="K269">
        <v>75</v>
      </c>
      <c r="L269">
        <v>10000</v>
      </c>
      <c r="M269" t="s">
        <v>17</v>
      </c>
    </row>
    <row r="270" spans="1:13" x14ac:dyDescent="0.25">
      <c r="A270">
        <v>269</v>
      </c>
      <c r="B270" t="s">
        <v>28</v>
      </c>
      <c r="C270">
        <v>49</v>
      </c>
      <c r="D270" t="s">
        <v>29</v>
      </c>
      <c r="E270">
        <v>6</v>
      </c>
      <c r="F270">
        <v>6</v>
      </c>
      <c r="G270">
        <v>90</v>
      </c>
      <c r="H270">
        <v>8</v>
      </c>
      <c r="I270" t="s">
        <v>15</v>
      </c>
      <c r="J270" t="s">
        <v>55</v>
      </c>
      <c r="K270">
        <v>75</v>
      </c>
      <c r="L270">
        <v>10000</v>
      </c>
      <c r="M270" t="s">
        <v>24</v>
      </c>
    </row>
    <row r="271" spans="1:13" x14ac:dyDescent="0.25">
      <c r="A271">
        <v>270</v>
      </c>
      <c r="B271" t="s">
        <v>28</v>
      </c>
      <c r="C271">
        <v>49</v>
      </c>
      <c r="D271" t="s">
        <v>29</v>
      </c>
      <c r="E271">
        <v>6.1</v>
      </c>
      <c r="F271">
        <v>6</v>
      </c>
      <c r="G271">
        <v>90</v>
      </c>
      <c r="H271">
        <v>8</v>
      </c>
      <c r="I271" t="s">
        <v>15</v>
      </c>
      <c r="J271" t="s">
        <v>55</v>
      </c>
      <c r="K271">
        <v>75</v>
      </c>
      <c r="L271">
        <v>10000</v>
      </c>
      <c r="M271" t="s">
        <v>24</v>
      </c>
    </row>
    <row r="272" spans="1:13" x14ac:dyDescent="0.25">
      <c r="A272">
        <v>271</v>
      </c>
      <c r="B272" t="s">
        <v>28</v>
      </c>
      <c r="C272">
        <v>49</v>
      </c>
      <c r="D272" t="s">
        <v>29</v>
      </c>
      <c r="E272">
        <v>6.1</v>
      </c>
      <c r="F272">
        <v>6</v>
      </c>
      <c r="G272">
        <v>90</v>
      </c>
      <c r="H272">
        <v>8</v>
      </c>
      <c r="I272" t="s">
        <v>15</v>
      </c>
      <c r="J272" t="s">
        <v>55</v>
      </c>
      <c r="K272">
        <v>75</v>
      </c>
      <c r="L272">
        <v>10000</v>
      </c>
      <c r="M272" t="s">
        <v>24</v>
      </c>
    </row>
    <row r="273" spans="1:13" x14ac:dyDescent="0.25">
      <c r="A273">
        <v>272</v>
      </c>
      <c r="B273" t="s">
        <v>28</v>
      </c>
      <c r="C273">
        <v>49</v>
      </c>
      <c r="D273" t="s">
        <v>29</v>
      </c>
      <c r="E273">
        <v>6.1</v>
      </c>
      <c r="F273">
        <v>6</v>
      </c>
      <c r="G273">
        <v>90</v>
      </c>
      <c r="H273">
        <v>8</v>
      </c>
      <c r="I273" t="s">
        <v>15</v>
      </c>
      <c r="J273" t="s">
        <v>55</v>
      </c>
      <c r="K273">
        <v>75</v>
      </c>
      <c r="L273">
        <v>10000</v>
      </c>
      <c r="M273" t="s">
        <v>24</v>
      </c>
    </row>
    <row r="274" spans="1:13" x14ac:dyDescent="0.25">
      <c r="A274">
        <v>273</v>
      </c>
      <c r="B274" t="s">
        <v>28</v>
      </c>
      <c r="C274">
        <v>49</v>
      </c>
      <c r="D274" t="s">
        <v>29</v>
      </c>
      <c r="E274">
        <v>6.1</v>
      </c>
      <c r="F274">
        <v>6</v>
      </c>
      <c r="G274">
        <v>90</v>
      </c>
      <c r="H274">
        <v>8</v>
      </c>
      <c r="I274" t="s">
        <v>15</v>
      </c>
      <c r="J274" t="s">
        <v>55</v>
      </c>
      <c r="K274">
        <v>75</v>
      </c>
      <c r="L274">
        <v>10000</v>
      </c>
      <c r="M274" t="s">
        <v>24</v>
      </c>
    </row>
    <row r="275" spans="1:13" x14ac:dyDescent="0.25">
      <c r="A275">
        <v>274</v>
      </c>
      <c r="B275" t="s">
        <v>28</v>
      </c>
      <c r="C275">
        <v>49</v>
      </c>
      <c r="D275" t="s">
        <v>29</v>
      </c>
      <c r="E275">
        <v>6.2</v>
      </c>
      <c r="F275">
        <v>6</v>
      </c>
      <c r="G275">
        <v>90</v>
      </c>
      <c r="H275">
        <v>8</v>
      </c>
      <c r="I275" t="s">
        <v>15</v>
      </c>
      <c r="J275" t="s">
        <v>55</v>
      </c>
      <c r="K275">
        <v>75</v>
      </c>
      <c r="L275">
        <v>10000</v>
      </c>
      <c r="M275" t="s">
        <v>24</v>
      </c>
    </row>
    <row r="276" spans="1:13" x14ac:dyDescent="0.25">
      <c r="A276">
        <v>275</v>
      </c>
      <c r="B276" t="s">
        <v>28</v>
      </c>
      <c r="C276">
        <v>49</v>
      </c>
      <c r="D276" t="s">
        <v>29</v>
      </c>
      <c r="E276">
        <v>6.2</v>
      </c>
      <c r="F276">
        <v>6</v>
      </c>
      <c r="G276">
        <v>90</v>
      </c>
      <c r="H276">
        <v>8</v>
      </c>
      <c r="I276" t="s">
        <v>15</v>
      </c>
      <c r="J276" t="s">
        <v>55</v>
      </c>
      <c r="K276">
        <v>75</v>
      </c>
      <c r="L276">
        <v>10000</v>
      </c>
      <c r="M276" t="s">
        <v>24</v>
      </c>
    </row>
    <row r="277" spans="1:13" x14ac:dyDescent="0.25">
      <c r="A277">
        <v>276</v>
      </c>
      <c r="B277" t="s">
        <v>28</v>
      </c>
      <c r="C277">
        <v>49</v>
      </c>
      <c r="D277" t="s">
        <v>29</v>
      </c>
      <c r="E277">
        <v>6.2</v>
      </c>
      <c r="F277">
        <v>6</v>
      </c>
      <c r="G277">
        <v>90</v>
      </c>
      <c r="H277">
        <v>8</v>
      </c>
      <c r="I277" t="s">
        <v>15</v>
      </c>
      <c r="J277" t="s">
        <v>55</v>
      </c>
      <c r="K277">
        <v>75</v>
      </c>
      <c r="L277">
        <v>10000</v>
      </c>
      <c r="M277" t="s">
        <v>24</v>
      </c>
    </row>
    <row r="278" spans="1:13" x14ac:dyDescent="0.25">
      <c r="A278">
        <v>277</v>
      </c>
      <c r="B278" t="s">
        <v>13</v>
      </c>
      <c r="C278">
        <v>49</v>
      </c>
      <c r="D278" t="s">
        <v>18</v>
      </c>
      <c r="E278">
        <v>8.1</v>
      </c>
      <c r="F278">
        <v>9</v>
      </c>
      <c r="G278">
        <v>85</v>
      </c>
      <c r="H278">
        <v>3</v>
      </c>
      <c r="I278" t="s">
        <v>22</v>
      </c>
      <c r="J278" t="s">
        <v>56</v>
      </c>
      <c r="K278">
        <v>86</v>
      </c>
      <c r="L278">
        <v>3700</v>
      </c>
      <c r="M278" t="s">
        <v>24</v>
      </c>
    </row>
    <row r="279" spans="1:13" x14ac:dyDescent="0.25">
      <c r="A279">
        <v>278</v>
      </c>
      <c r="B279" t="s">
        <v>13</v>
      </c>
      <c r="C279">
        <v>49</v>
      </c>
      <c r="D279" t="s">
        <v>18</v>
      </c>
      <c r="E279">
        <v>8.1</v>
      </c>
      <c r="F279">
        <v>9</v>
      </c>
      <c r="G279">
        <v>85</v>
      </c>
      <c r="H279">
        <v>3</v>
      </c>
      <c r="I279" t="s">
        <v>22</v>
      </c>
      <c r="J279" t="s">
        <v>56</v>
      </c>
      <c r="K279">
        <v>86</v>
      </c>
      <c r="L279">
        <v>3700</v>
      </c>
      <c r="M279" t="s">
        <v>24</v>
      </c>
    </row>
    <row r="280" spans="1:13" x14ac:dyDescent="0.25">
      <c r="A280">
        <v>279</v>
      </c>
      <c r="B280" t="s">
        <v>28</v>
      </c>
      <c r="C280">
        <v>50</v>
      </c>
      <c r="D280" t="s">
        <v>29</v>
      </c>
      <c r="E280">
        <v>6.1</v>
      </c>
      <c r="F280">
        <v>6</v>
      </c>
      <c r="G280">
        <v>90</v>
      </c>
      <c r="H280">
        <v>8</v>
      </c>
      <c r="I280" t="s">
        <v>15</v>
      </c>
      <c r="J280" t="s">
        <v>55</v>
      </c>
      <c r="K280">
        <v>75</v>
      </c>
      <c r="L280">
        <v>10000</v>
      </c>
      <c r="M280" t="s">
        <v>25</v>
      </c>
    </row>
    <row r="281" spans="1:13" x14ac:dyDescent="0.25">
      <c r="A281">
        <v>280</v>
      </c>
      <c r="B281" t="s">
        <v>28</v>
      </c>
      <c r="C281">
        <v>50</v>
      </c>
      <c r="D281" t="s">
        <v>34</v>
      </c>
      <c r="E281">
        <v>8.3000000000000007</v>
      </c>
      <c r="F281">
        <v>9</v>
      </c>
      <c r="G281">
        <v>30</v>
      </c>
      <c r="H281">
        <v>3</v>
      </c>
      <c r="I281" t="s">
        <v>19</v>
      </c>
      <c r="J281" t="s">
        <v>20</v>
      </c>
      <c r="K281">
        <v>65</v>
      </c>
      <c r="L281">
        <v>5000</v>
      </c>
      <c r="M281" t="s">
        <v>17</v>
      </c>
    </row>
    <row r="282" spans="1:13" x14ac:dyDescent="0.25">
      <c r="A282">
        <v>281</v>
      </c>
      <c r="B282" t="s">
        <v>28</v>
      </c>
      <c r="C282">
        <v>50</v>
      </c>
      <c r="D282" t="s">
        <v>29</v>
      </c>
      <c r="E282">
        <v>6</v>
      </c>
      <c r="F282">
        <v>6</v>
      </c>
      <c r="G282">
        <v>90</v>
      </c>
      <c r="H282">
        <v>8</v>
      </c>
      <c r="I282" t="s">
        <v>15</v>
      </c>
      <c r="J282" t="s">
        <v>55</v>
      </c>
      <c r="K282">
        <v>75</v>
      </c>
      <c r="L282">
        <v>10000</v>
      </c>
      <c r="M282" t="s">
        <v>17</v>
      </c>
    </row>
    <row r="283" spans="1:13" x14ac:dyDescent="0.25">
      <c r="A283">
        <v>282</v>
      </c>
      <c r="B283" t="s">
        <v>28</v>
      </c>
      <c r="C283">
        <v>50</v>
      </c>
      <c r="D283" t="s">
        <v>29</v>
      </c>
      <c r="E283">
        <v>6.1</v>
      </c>
      <c r="F283">
        <v>6</v>
      </c>
      <c r="G283">
        <v>90</v>
      </c>
      <c r="H283">
        <v>8</v>
      </c>
      <c r="I283" t="s">
        <v>15</v>
      </c>
      <c r="J283" t="s">
        <v>55</v>
      </c>
      <c r="K283">
        <v>75</v>
      </c>
      <c r="L283">
        <v>10000</v>
      </c>
      <c r="M283" t="s">
        <v>24</v>
      </c>
    </row>
    <row r="284" spans="1:13" x14ac:dyDescent="0.25">
      <c r="A284">
        <v>283</v>
      </c>
      <c r="B284" t="s">
        <v>28</v>
      </c>
      <c r="C284">
        <v>50</v>
      </c>
      <c r="D284" t="s">
        <v>29</v>
      </c>
      <c r="E284">
        <v>6</v>
      </c>
      <c r="F284">
        <v>6</v>
      </c>
      <c r="G284">
        <v>90</v>
      </c>
      <c r="H284">
        <v>8</v>
      </c>
      <c r="I284" t="s">
        <v>15</v>
      </c>
      <c r="J284" t="s">
        <v>55</v>
      </c>
      <c r="K284">
        <v>75</v>
      </c>
      <c r="L284">
        <v>10000</v>
      </c>
      <c r="M284" t="s">
        <v>24</v>
      </c>
    </row>
    <row r="285" spans="1:13" x14ac:dyDescent="0.25">
      <c r="A285">
        <v>284</v>
      </c>
      <c r="B285" t="s">
        <v>28</v>
      </c>
      <c r="C285">
        <v>50</v>
      </c>
      <c r="D285" t="s">
        <v>29</v>
      </c>
      <c r="E285">
        <v>6</v>
      </c>
      <c r="F285">
        <v>6</v>
      </c>
      <c r="G285">
        <v>90</v>
      </c>
      <c r="H285">
        <v>8</v>
      </c>
      <c r="I285" t="s">
        <v>15</v>
      </c>
      <c r="J285" t="s">
        <v>55</v>
      </c>
      <c r="K285">
        <v>75</v>
      </c>
      <c r="L285">
        <v>10000</v>
      </c>
      <c r="M285" t="s">
        <v>24</v>
      </c>
    </row>
    <row r="286" spans="1:13" x14ac:dyDescent="0.25">
      <c r="A286">
        <v>285</v>
      </c>
      <c r="B286" t="s">
        <v>28</v>
      </c>
      <c r="C286">
        <v>50</v>
      </c>
      <c r="D286" t="s">
        <v>29</v>
      </c>
      <c r="E286">
        <v>6</v>
      </c>
      <c r="F286">
        <v>6</v>
      </c>
      <c r="G286">
        <v>90</v>
      </c>
      <c r="H286">
        <v>8</v>
      </c>
      <c r="I286" t="s">
        <v>15</v>
      </c>
      <c r="J286" t="s">
        <v>55</v>
      </c>
      <c r="K286">
        <v>75</v>
      </c>
      <c r="L286">
        <v>10000</v>
      </c>
      <c r="M286" t="s">
        <v>24</v>
      </c>
    </row>
    <row r="287" spans="1:13" x14ac:dyDescent="0.25">
      <c r="A287">
        <v>286</v>
      </c>
      <c r="B287" t="s">
        <v>28</v>
      </c>
      <c r="C287">
        <v>50</v>
      </c>
      <c r="D287" t="s">
        <v>29</v>
      </c>
      <c r="E287">
        <v>6</v>
      </c>
      <c r="F287">
        <v>6</v>
      </c>
      <c r="G287">
        <v>90</v>
      </c>
      <c r="H287">
        <v>8</v>
      </c>
      <c r="I287" t="s">
        <v>15</v>
      </c>
      <c r="J287" t="s">
        <v>55</v>
      </c>
      <c r="K287">
        <v>75</v>
      </c>
      <c r="L287">
        <v>10000</v>
      </c>
      <c r="M287" t="s">
        <v>24</v>
      </c>
    </row>
    <row r="288" spans="1:13" x14ac:dyDescent="0.25">
      <c r="A288">
        <v>287</v>
      </c>
      <c r="B288" t="s">
        <v>28</v>
      </c>
      <c r="C288">
        <v>50</v>
      </c>
      <c r="D288" t="s">
        <v>29</v>
      </c>
      <c r="E288">
        <v>6</v>
      </c>
      <c r="F288">
        <v>6</v>
      </c>
      <c r="G288">
        <v>90</v>
      </c>
      <c r="H288">
        <v>8</v>
      </c>
      <c r="I288" t="s">
        <v>15</v>
      </c>
      <c r="J288" t="s">
        <v>55</v>
      </c>
      <c r="K288">
        <v>75</v>
      </c>
      <c r="L288">
        <v>10000</v>
      </c>
      <c r="M288" t="s">
        <v>24</v>
      </c>
    </row>
    <row r="289" spans="1:13" x14ac:dyDescent="0.25">
      <c r="A289">
        <v>288</v>
      </c>
      <c r="B289" t="s">
        <v>28</v>
      </c>
      <c r="C289">
        <v>50</v>
      </c>
      <c r="D289" t="s">
        <v>29</v>
      </c>
      <c r="E289">
        <v>6</v>
      </c>
      <c r="F289">
        <v>6</v>
      </c>
      <c r="G289">
        <v>90</v>
      </c>
      <c r="H289">
        <v>8</v>
      </c>
      <c r="I289" t="s">
        <v>15</v>
      </c>
      <c r="J289" t="s">
        <v>55</v>
      </c>
      <c r="K289">
        <v>75</v>
      </c>
      <c r="L289">
        <v>10000</v>
      </c>
      <c r="M289" t="s">
        <v>24</v>
      </c>
    </row>
    <row r="290" spans="1:13" x14ac:dyDescent="0.25">
      <c r="A290">
        <v>289</v>
      </c>
      <c r="B290" t="s">
        <v>28</v>
      </c>
      <c r="C290">
        <v>50</v>
      </c>
      <c r="D290" t="s">
        <v>29</v>
      </c>
      <c r="E290">
        <v>6</v>
      </c>
      <c r="F290">
        <v>6</v>
      </c>
      <c r="G290">
        <v>90</v>
      </c>
      <c r="H290">
        <v>8</v>
      </c>
      <c r="I290" t="s">
        <v>15</v>
      </c>
      <c r="J290" t="s">
        <v>55</v>
      </c>
      <c r="K290">
        <v>75</v>
      </c>
      <c r="L290">
        <v>10000</v>
      </c>
      <c r="M290" t="s">
        <v>24</v>
      </c>
    </row>
    <row r="291" spans="1:13" x14ac:dyDescent="0.25">
      <c r="A291">
        <v>290</v>
      </c>
      <c r="B291" t="s">
        <v>28</v>
      </c>
      <c r="C291">
        <v>50</v>
      </c>
      <c r="D291" t="s">
        <v>29</v>
      </c>
      <c r="E291">
        <v>6.1</v>
      </c>
      <c r="F291">
        <v>6</v>
      </c>
      <c r="G291">
        <v>90</v>
      </c>
      <c r="H291">
        <v>8</v>
      </c>
      <c r="I291" t="s">
        <v>15</v>
      </c>
      <c r="J291" t="s">
        <v>55</v>
      </c>
      <c r="K291">
        <v>75</v>
      </c>
      <c r="L291">
        <v>10000</v>
      </c>
      <c r="M291" t="s">
        <v>24</v>
      </c>
    </row>
    <row r="292" spans="1:13" x14ac:dyDescent="0.25">
      <c r="A292">
        <v>291</v>
      </c>
      <c r="B292" t="s">
        <v>28</v>
      </c>
      <c r="C292">
        <v>50</v>
      </c>
      <c r="D292" t="s">
        <v>29</v>
      </c>
      <c r="E292">
        <v>6</v>
      </c>
      <c r="F292">
        <v>6</v>
      </c>
      <c r="G292">
        <v>90</v>
      </c>
      <c r="H292">
        <v>8</v>
      </c>
      <c r="I292" t="s">
        <v>15</v>
      </c>
      <c r="J292" t="s">
        <v>55</v>
      </c>
      <c r="K292">
        <v>75</v>
      </c>
      <c r="L292">
        <v>10000</v>
      </c>
      <c r="M292" t="s">
        <v>24</v>
      </c>
    </row>
    <row r="293" spans="1:13" x14ac:dyDescent="0.25">
      <c r="A293">
        <v>292</v>
      </c>
      <c r="B293" t="s">
        <v>28</v>
      </c>
      <c r="C293">
        <v>50</v>
      </c>
      <c r="D293" t="s">
        <v>29</v>
      </c>
      <c r="E293">
        <v>6.1</v>
      </c>
      <c r="F293">
        <v>6</v>
      </c>
      <c r="G293">
        <v>90</v>
      </c>
      <c r="H293">
        <v>8</v>
      </c>
      <c r="I293" t="s">
        <v>15</v>
      </c>
      <c r="J293" t="s">
        <v>55</v>
      </c>
      <c r="K293">
        <v>75</v>
      </c>
      <c r="L293">
        <v>10000</v>
      </c>
      <c r="M293" t="s">
        <v>24</v>
      </c>
    </row>
    <row r="294" spans="1:13" x14ac:dyDescent="0.25">
      <c r="A294">
        <v>293</v>
      </c>
      <c r="B294" t="s">
        <v>28</v>
      </c>
      <c r="C294">
        <v>50</v>
      </c>
      <c r="D294" t="s">
        <v>29</v>
      </c>
      <c r="E294">
        <v>6.1</v>
      </c>
      <c r="F294">
        <v>6</v>
      </c>
      <c r="G294">
        <v>90</v>
      </c>
      <c r="H294">
        <v>8</v>
      </c>
      <c r="I294" t="s">
        <v>15</v>
      </c>
      <c r="J294" t="s">
        <v>55</v>
      </c>
      <c r="K294">
        <v>75</v>
      </c>
      <c r="L294">
        <v>10000</v>
      </c>
      <c r="M294" t="s">
        <v>24</v>
      </c>
    </row>
    <row r="295" spans="1:13" x14ac:dyDescent="0.25">
      <c r="A295">
        <v>294</v>
      </c>
      <c r="B295" t="s">
        <v>28</v>
      </c>
      <c r="C295">
        <v>50</v>
      </c>
      <c r="D295" t="s">
        <v>29</v>
      </c>
      <c r="E295">
        <v>6</v>
      </c>
      <c r="F295">
        <v>6</v>
      </c>
      <c r="G295">
        <v>90</v>
      </c>
      <c r="H295">
        <v>8</v>
      </c>
      <c r="I295" t="s">
        <v>15</v>
      </c>
      <c r="J295" t="s">
        <v>55</v>
      </c>
      <c r="K295">
        <v>75</v>
      </c>
      <c r="L295">
        <v>10000</v>
      </c>
      <c r="M295" t="s">
        <v>24</v>
      </c>
    </row>
    <row r="296" spans="1:13" x14ac:dyDescent="0.25">
      <c r="A296">
        <v>295</v>
      </c>
      <c r="B296" t="s">
        <v>28</v>
      </c>
      <c r="C296">
        <v>50</v>
      </c>
      <c r="D296" t="s">
        <v>29</v>
      </c>
      <c r="E296">
        <v>6.1</v>
      </c>
      <c r="F296">
        <v>6</v>
      </c>
      <c r="G296">
        <v>90</v>
      </c>
      <c r="H296">
        <v>8</v>
      </c>
      <c r="I296" t="s">
        <v>15</v>
      </c>
      <c r="J296" t="s">
        <v>55</v>
      </c>
      <c r="K296">
        <v>75</v>
      </c>
      <c r="L296">
        <v>10000</v>
      </c>
      <c r="M296" t="s">
        <v>24</v>
      </c>
    </row>
    <row r="297" spans="1:13" x14ac:dyDescent="0.25">
      <c r="A297">
        <v>296</v>
      </c>
      <c r="B297" t="s">
        <v>28</v>
      </c>
      <c r="C297">
        <v>50</v>
      </c>
      <c r="D297" t="s">
        <v>29</v>
      </c>
      <c r="E297">
        <v>6</v>
      </c>
      <c r="F297">
        <v>6</v>
      </c>
      <c r="G297">
        <v>90</v>
      </c>
      <c r="H297">
        <v>8</v>
      </c>
      <c r="I297" t="s">
        <v>15</v>
      </c>
      <c r="J297" t="s">
        <v>55</v>
      </c>
      <c r="K297">
        <v>75</v>
      </c>
      <c r="L297">
        <v>10000</v>
      </c>
      <c r="M297" t="s">
        <v>24</v>
      </c>
    </row>
    <row r="298" spans="1:13" x14ac:dyDescent="0.25">
      <c r="A298">
        <v>297</v>
      </c>
      <c r="B298" t="s">
        <v>28</v>
      </c>
      <c r="C298">
        <v>50</v>
      </c>
      <c r="D298" t="s">
        <v>29</v>
      </c>
      <c r="E298">
        <v>6.1</v>
      </c>
      <c r="F298">
        <v>6</v>
      </c>
      <c r="G298">
        <v>90</v>
      </c>
      <c r="H298">
        <v>8</v>
      </c>
      <c r="I298" t="s">
        <v>15</v>
      </c>
      <c r="J298" t="s">
        <v>55</v>
      </c>
      <c r="K298">
        <v>75</v>
      </c>
      <c r="L298">
        <v>10000</v>
      </c>
      <c r="M298" t="s">
        <v>24</v>
      </c>
    </row>
    <row r="299" spans="1:13" x14ac:dyDescent="0.25">
      <c r="A299">
        <v>298</v>
      </c>
      <c r="B299" t="s">
        <v>28</v>
      </c>
      <c r="C299">
        <v>50</v>
      </c>
      <c r="D299" t="s">
        <v>29</v>
      </c>
      <c r="E299">
        <v>6.1</v>
      </c>
      <c r="F299">
        <v>6</v>
      </c>
      <c r="G299">
        <v>90</v>
      </c>
      <c r="H299">
        <v>8</v>
      </c>
      <c r="I299" t="s">
        <v>15</v>
      </c>
      <c r="J299" t="s">
        <v>55</v>
      </c>
      <c r="K299">
        <v>75</v>
      </c>
      <c r="L299">
        <v>10000</v>
      </c>
      <c r="M299" t="s">
        <v>24</v>
      </c>
    </row>
    <row r="300" spans="1:13" x14ac:dyDescent="0.25">
      <c r="A300">
        <v>299</v>
      </c>
      <c r="B300" t="s">
        <v>28</v>
      </c>
      <c r="C300">
        <v>51</v>
      </c>
      <c r="D300" t="s">
        <v>34</v>
      </c>
      <c r="E300">
        <v>8.5</v>
      </c>
      <c r="F300">
        <v>9</v>
      </c>
      <c r="G300">
        <v>30</v>
      </c>
      <c r="H300">
        <v>3</v>
      </c>
      <c r="I300" t="s">
        <v>19</v>
      </c>
      <c r="J300" t="s">
        <v>20</v>
      </c>
      <c r="K300">
        <v>65</v>
      </c>
      <c r="L300">
        <v>5000</v>
      </c>
      <c r="M300" t="s">
        <v>17</v>
      </c>
    </row>
    <row r="301" spans="1:13" x14ac:dyDescent="0.25">
      <c r="A301">
        <v>300</v>
      </c>
      <c r="B301" t="s">
        <v>28</v>
      </c>
      <c r="C301">
        <v>51</v>
      </c>
      <c r="D301" t="s">
        <v>34</v>
      </c>
      <c r="E301">
        <v>8.5</v>
      </c>
      <c r="F301">
        <v>9</v>
      </c>
      <c r="G301">
        <v>30</v>
      </c>
      <c r="H301">
        <v>3</v>
      </c>
      <c r="I301" t="s">
        <v>19</v>
      </c>
      <c r="J301" t="s">
        <v>20</v>
      </c>
      <c r="K301">
        <v>65</v>
      </c>
      <c r="L301">
        <v>5000</v>
      </c>
      <c r="M301" t="s">
        <v>17</v>
      </c>
    </row>
    <row r="302" spans="1:13" x14ac:dyDescent="0.25">
      <c r="A302">
        <v>301</v>
      </c>
      <c r="B302" t="s">
        <v>28</v>
      </c>
      <c r="C302">
        <v>51</v>
      </c>
      <c r="D302" t="s">
        <v>34</v>
      </c>
      <c r="E302">
        <v>8.5</v>
      </c>
      <c r="F302">
        <v>9</v>
      </c>
      <c r="G302">
        <v>30</v>
      </c>
      <c r="H302">
        <v>3</v>
      </c>
      <c r="I302" t="s">
        <v>19</v>
      </c>
      <c r="J302" t="s">
        <v>20</v>
      </c>
      <c r="K302">
        <v>65</v>
      </c>
      <c r="L302">
        <v>5000</v>
      </c>
      <c r="M302" t="s">
        <v>17</v>
      </c>
    </row>
    <row r="303" spans="1:13" x14ac:dyDescent="0.25">
      <c r="A303">
        <v>302</v>
      </c>
      <c r="B303" t="s">
        <v>28</v>
      </c>
      <c r="C303">
        <v>51</v>
      </c>
      <c r="D303" t="s">
        <v>34</v>
      </c>
      <c r="E303">
        <v>8.5</v>
      </c>
      <c r="F303">
        <v>9</v>
      </c>
      <c r="G303">
        <v>30</v>
      </c>
      <c r="H303">
        <v>3</v>
      </c>
      <c r="I303" t="s">
        <v>19</v>
      </c>
      <c r="J303" t="s">
        <v>20</v>
      </c>
      <c r="K303">
        <v>65</v>
      </c>
      <c r="L303">
        <v>5000</v>
      </c>
      <c r="M303" t="s">
        <v>17</v>
      </c>
    </row>
    <row r="304" spans="1:13" x14ac:dyDescent="0.25">
      <c r="A304">
        <v>303</v>
      </c>
      <c r="B304" t="s">
        <v>28</v>
      </c>
      <c r="C304">
        <v>51</v>
      </c>
      <c r="D304" t="s">
        <v>29</v>
      </c>
      <c r="E304">
        <v>7.1</v>
      </c>
      <c r="F304">
        <v>7</v>
      </c>
      <c r="G304">
        <v>55</v>
      </c>
      <c r="H304">
        <v>6</v>
      </c>
      <c r="I304" t="s">
        <v>30</v>
      </c>
      <c r="J304" t="s">
        <v>49</v>
      </c>
      <c r="K304">
        <v>72</v>
      </c>
      <c r="L304">
        <v>6000</v>
      </c>
      <c r="M304" t="s">
        <v>17</v>
      </c>
    </row>
    <row r="305" spans="1:13" x14ac:dyDescent="0.25">
      <c r="A305">
        <v>304</v>
      </c>
      <c r="B305" t="s">
        <v>28</v>
      </c>
      <c r="C305">
        <v>51</v>
      </c>
      <c r="D305" t="s">
        <v>29</v>
      </c>
      <c r="E305">
        <v>6</v>
      </c>
      <c r="F305">
        <v>6</v>
      </c>
      <c r="G305">
        <v>90</v>
      </c>
      <c r="H305">
        <v>8</v>
      </c>
      <c r="I305" t="s">
        <v>15</v>
      </c>
      <c r="J305" t="s">
        <v>55</v>
      </c>
      <c r="K305">
        <v>75</v>
      </c>
      <c r="L305">
        <v>10000</v>
      </c>
      <c r="M305" t="s">
        <v>24</v>
      </c>
    </row>
    <row r="306" spans="1:13" x14ac:dyDescent="0.25">
      <c r="A306">
        <v>305</v>
      </c>
      <c r="B306" t="s">
        <v>28</v>
      </c>
      <c r="C306">
        <v>51</v>
      </c>
      <c r="D306" t="s">
        <v>29</v>
      </c>
      <c r="E306">
        <v>6.1</v>
      </c>
      <c r="F306">
        <v>6</v>
      </c>
      <c r="G306">
        <v>90</v>
      </c>
      <c r="H306">
        <v>8</v>
      </c>
      <c r="I306" t="s">
        <v>15</v>
      </c>
      <c r="J306" t="s">
        <v>55</v>
      </c>
      <c r="K306">
        <v>75</v>
      </c>
      <c r="L306">
        <v>10000</v>
      </c>
      <c r="M306" t="s">
        <v>24</v>
      </c>
    </row>
    <row r="307" spans="1:13" x14ac:dyDescent="0.25">
      <c r="A307">
        <v>306</v>
      </c>
      <c r="B307" t="s">
        <v>28</v>
      </c>
      <c r="C307">
        <v>51</v>
      </c>
      <c r="D307" t="s">
        <v>29</v>
      </c>
      <c r="E307">
        <v>6.1</v>
      </c>
      <c r="F307">
        <v>6</v>
      </c>
      <c r="G307">
        <v>90</v>
      </c>
      <c r="H307">
        <v>8</v>
      </c>
      <c r="I307" t="s">
        <v>15</v>
      </c>
      <c r="J307" t="s">
        <v>55</v>
      </c>
      <c r="K307">
        <v>75</v>
      </c>
      <c r="L307">
        <v>10000</v>
      </c>
      <c r="M307" t="s">
        <v>24</v>
      </c>
    </row>
    <row r="308" spans="1:13" x14ac:dyDescent="0.25">
      <c r="A308">
        <v>307</v>
      </c>
      <c r="B308" t="s">
        <v>28</v>
      </c>
      <c r="C308">
        <v>52</v>
      </c>
      <c r="D308" t="s">
        <v>35</v>
      </c>
      <c r="E308">
        <v>6.5</v>
      </c>
      <c r="F308">
        <v>7</v>
      </c>
      <c r="G308">
        <v>45</v>
      </c>
      <c r="H308">
        <v>7</v>
      </c>
      <c r="I308" t="s">
        <v>15</v>
      </c>
      <c r="J308" t="s">
        <v>45</v>
      </c>
      <c r="K308">
        <v>72</v>
      </c>
      <c r="L308">
        <v>6000</v>
      </c>
      <c r="M308" t="s">
        <v>25</v>
      </c>
    </row>
    <row r="309" spans="1:13" x14ac:dyDescent="0.25">
      <c r="A309">
        <v>308</v>
      </c>
      <c r="B309" t="s">
        <v>28</v>
      </c>
      <c r="C309">
        <v>52</v>
      </c>
      <c r="D309" t="s">
        <v>35</v>
      </c>
      <c r="E309">
        <v>6.5</v>
      </c>
      <c r="F309">
        <v>7</v>
      </c>
      <c r="G309">
        <v>45</v>
      </c>
      <c r="H309">
        <v>7</v>
      </c>
      <c r="I309" t="s">
        <v>15</v>
      </c>
      <c r="J309" t="s">
        <v>45</v>
      </c>
      <c r="K309">
        <v>72</v>
      </c>
      <c r="L309">
        <v>6000</v>
      </c>
      <c r="M309" t="s">
        <v>25</v>
      </c>
    </row>
    <row r="310" spans="1:13" x14ac:dyDescent="0.25">
      <c r="A310">
        <v>309</v>
      </c>
      <c r="B310" t="s">
        <v>28</v>
      </c>
      <c r="C310">
        <v>52</v>
      </c>
      <c r="D310" t="s">
        <v>35</v>
      </c>
      <c r="E310">
        <v>6.6</v>
      </c>
      <c r="F310">
        <v>7</v>
      </c>
      <c r="G310">
        <v>45</v>
      </c>
      <c r="H310">
        <v>7</v>
      </c>
      <c r="I310" t="s">
        <v>15</v>
      </c>
      <c r="J310" t="s">
        <v>45</v>
      </c>
      <c r="K310">
        <v>72</v>
      </c>
      <c r="L310">
        <v>6000</v>
      </c>
      <c r="M310" t="s">
        <v>25</v>
      </c>
    </row>
    <row r="311" spans="1:13" x14ac:dyDescent="0.25">
      <c r="A311">
        <v>310</v>
      </c>
      <c r="B311" t="s">
        <v>28</v>
      </c>
      <c r="C311">
        <v>52</v>
      </c>
      <c r="D311" t="s">
        <v>35</v>
      </c>
      <c r="E311">
        <v>6.6</v>
      </c>
      <c r="F311">
        <v>7</v>
      </c>
      <c r="G311">
        <v>45</v>
      </c>
      <c r="H311">
        <v>7</v>
      </c>
      <c r="I311" t="s">
        <v>15</v>
      </c>
      <c r="J311" t="s">
        <v>45</v>
      </c>
      <c r="K311">
        <v>72</v>
      </c>
      <c r="L311">
        <v>6000</v>
      </c>
      <c r="M311" t="s">
        <v>25</v>
      </c>
    </row>
    <row r="312" spans="1:13" x14ac:dyDescent="0.25">
      <c r="A312">
        <v>311</v>
      </c>
      <c r="B312" t="s">
        <v>28</v>
      </c>
      <c r="C312">
        <v>52</v>
      </c>
      <c r="D312" t="s">
        <v>35</v>
      </c>
      <c r="E312">
        <v>6.6</v>
      </c>
      <c r="F312">
        <v>7</v>
      </c>
      <c r="G312">
        <v>45</v>
      </c>
      <c r="H312">
        <v>7</v>
      </c>
      <c r="I312" t="s">
        <v>15</v>
      </c>
      <c r="J312" t="s">
        <v>45</v>
      </c>
      <c r="K312">
        <v>72</v>
      </c>
      <c r="L312">
        <v>6000</v>
      </c>
      <c r="M312" t="s">
        <v>25</v>
      </c>
    </row>
    <row r="313" spans="1:13" x14ac:dyDescent="0.25">
      <c r="A313">
        <v>312</v>
      </c>
      <c r="B313" t="s">
        <v>28</v>
      </c>
      <c r="C313">
        <v>52</v>
      </c>
      <c r="D313" t="s">
        <v>35</v>
      </c>
      <c r="E313">
        <v>6.6</v>
      </c>
      <c r="F313">
        <v>7</v>
      </c>
      <c r="G313">
        <v>45</v>
      </c>
      <c r="H313">
        <v>7</v>
      </c>
      <c r="I313" t="s">
        <v>15</v>
      </c>
      <c r="J313" t="s">
        <v>45</v>
      </c>
      <c r="K313">
        <v>72</v>
      </c>
      <c r="L313">
        <v>6000</v>
      </c>
      <c r="M313" t="s">
        <v>25</v>
      </c>
    </row>
    <row r="314" spans="1:13" x14ac:dyDescent="0.25">
      <c r="A314">
        <v>313</v>
      </c>
      <c r="B314" t="s">
        <v>28</v>
      </c>
      <c r="C314">
        <v>52</v>
      </c>
      <c r="D314" t="s">
        <v>34</v>
      </c>
      <c r="E314">
        <v>8.4</v>
      </c>
      <c r="F314">
        <v>9</v>
      </c>
      <c r="G314">
        <v>30</v>
      </c>
      <c r="H314">
        <v>3</v>
      </c>
      <c r="I314" t="s">
        <v>19</v>
      </c>
      <c r="J314" t="s">
        <v>20</v>
      </c>
      <c r="K314">
        <v>65</v>
      </c>
      <c r="L314">
        <v>5000</v>
      </c>
      <c r="M314" t="s">
        <v>17</v>
      </c>
    </row>
    <row r="315" spans="1:13" x14ac:dyDescent="0.25">
      <c r="A315">
        <v>314</v>
      </c>
      <c r="B315" t="s">
        <v>28</v>
      </c>
      <c r="C315">
        <v>52</v>
      </c>
      <c r="D315" t="s">
        <v>34</v>
      </c>
      <c r="E315">
        <v>8.4</v>
      </c>
      <c r="F315">
        <v>9</v>
      </c>
      <c r="G315">
        <v>30</v>
      </c>
      <c r="H315">
        <v>3</v>
      </c>
      <c r="I315" t="s">
        <v>19</v>
      </c>
      <c r="J315" t="s">
        <v>20</v>
      </c>
      <c r="K315">
        <v>65</v>
      </c>
      <c r="L315">
        <v>5000</v>
      </c>
      <c r="M315" t="s">
        <v>17</v>
      </c>
    </row>
    <row r="316" spans="1:13" x14ac:dyDescent="0.25">
      <c r="A316">
        <v>315</v>
      </c>
      <c r="B316" t="s">
        <v>28</v>
      </c>
      <c r="C316">
        <v>52</v>
      </c>
      <c r="D316" t="s">
        <v>34</v>
      </c>
      <c r="E316">
        <v>8.4</v>
      </c>
      <c r="F316">
        <v>9</v>
      </c>
      <c r="G316">
        <v>30</v>
      </c>
      <c r="H316">
        <v>3</v>
      </c>
      <c r="I316" t="s">
        <v>19</v>
      </c>
      <c r="J316" t="s">
        <v>20</v>
      </c>
      <c r="K316">
        <v>65</v>
      </c>
      <c r="L316">
        <v>5000</v>
      </c>
      <c r="M316" t="s">
        <v>17</v>
      </c>
    </row>
    <row r="317" spans="1:13" x14ac:dyDescent="0.25">
      <c r="A317">
        <v>316</v>
      </c>
      <c r="B317" t="s">
        <v>28</v>
      </c>
      <c r="C317">
        <v>53</v>
      </c>
      <c r="D317" t="s">
        <v>34</v>
      </c>
      <c r="E317">
        <v>8.3000000000000007</v>
      </c>
      <c r="F317">
        <v>9</v>
      </c>
      <c r="G317">
        <v>30</v>
      </c>
      <c r="H317">
        <v>3</v>
      </c>
      <c r="I317" t="s">
        <v>19</v>
      </c>
      <c r="J317" t="s">
        <v>20</v>
      </c>
      <c r="K317">
        <v>65</v>
      </c>
      <c r="L317">
        <v>5000</v>
      </c>
      <c r="M317" t="s">
        <v>25</v>
      </c>
    </row>
    <row r="318" spans="1:13" x14ac:dyDescent="0.25">
      <c r="A318">
        <v>317</v>
      </c>
      <c r="B318" t="s">
        <v>28</v>
      </c>
      <c r="C318">
        <v>53</v>
      </c>
      <c r="D318" t="s">
        <v>34</v>
      </c>
      <c r="E318">
        <v>8.5</v>
      </c>
      <c r="F318">
        <v>9</v>
      </c>
      <c r="G318">
        <v>30</v>
      </c>
      <c r="H318">
        <v>3</v>
      </c>
      <c r="I318" t="s">
        <v>19</v>
      </c>
      <c r="J318" t="s">
        <v>20</v>
      </c>
      <c r="K318">
        <v>65</v>
      </c>
      <c r="L318">
        <v>5000</v>
      </c>
      <c r="M318" t="s">
        <v>17</v>
      </c>
    </row>
    <row r="319" spans="1:13" x14ac:dyDescent="0.25">
      <c r="A319">
        <v>318</v>
      </c>
      <c r="B319" t="s">
        <v>28</v>
      </c>
      <c r="C319">
        <v>53</v>
      </c>
      <c r="D319" t="s">
        <v>34</v>
      </c>
      <c r="E319">
        <v>8.5</v>
      </c>
      <c r="F319">
        <v>9</v>
      </c>
      <c r="G319">
        <v>30</v>
      </c>
      <c r="H319">
        <v>3</v>
      </c>
      <c r="I319" t="s">
        <v>19</v>
      </c>
      <c r="J319" t="s">
        <v>20</v>
      </c>
      <c r="K319">
        <v>65</v>
      </c>
      <c r="L319">
        <v>5000</v>
      </c>
      <c r="M319" t="s">
        <v>17</v>
      </c>
    </row>
    <row r="320" spans="1:13" x14ac:dyDescent="0.25">
      <c r="A320">
        <v>319</v>
      </c>
      <c r="B320" t="s">
        <v>28</v>
      </c>
      <c r="C320">
        <v>53</v>
      </c>
      <c r="D320" t="s">
        <v>34</v>
      </c>
      <c r="E320">
        <v>8.4</v>
      </c>
      <c r="F320">
        <v>9</v>
      </c>
      <c r="G320">
        <v>30</v>
      </c>
      <c r="H320">
        <v>3</v>
      </c>
      <c r="I320" t="s">
        <v>19</v>
      </c>
      <c r="J320" t="s">
        <v>20</v>
      </c>
      <c r="K320">
        <v>65</v>
      </c>
      <c r="L320">
        <v>5000</v>
      </c>
      <c r="M320" t="s">
        <v>17</v>
      </c>
    </row>
    <row r="321" spans="1:13" x14ac:dyDescent="0.25">
      <c r="A321">
        <v>320</v>
      </c>
      <c r="B321" t="s">
        <v>28</v>
      </c>
      <c r="C321">
        <v>53</v>
      </c>
      <c r="D321" t="s">
        <v>34</v>
      </c>
      <c r="E321">
        <v>8.4</v>
      </c>
      <c r="F321">
        <v>9</v>
      </c>
      <c r="G321">
        <v>30</v>
      </c>
      <c r="H321">
        <v>3</v>
      </c>
      <c r="I321" t="s">
        <v>19</v>
      </c>
      <c r="J321" t="s">
        <v>20</v>
      </c>
      <c r="K321">
        <v>65</v>
      </c>
      <c r="L321">
        <v>5000</v>
      </c>
      <c r="M321" t="s">
        <v>17</v>
      </c>
    </row>
    <row r="322" spans="1:13" x14ac:dyDescent="0.25">
      <c r="A322">
        <v>321</v>
      </c>
      <c r="B322" t="s">
        <v>28</v>
      </c>
      <c r="C322">
        <v>53</v>
      </c>
      <c r="D322" t="s">
        <v>34</v>
      </c>
      <c r="E322">
        <v>8.5</v>
      </c>
      <c r="F322">
        <v>9</v>
      </c>
      <c r="G322">
        <v>30</v>
      </c>
      <c r="H322">
        <v>3</v>
      </c>
      <c r="I322" t="s">
        <v>19</v>
      </c>
      <c r="J322" t="s">
        <v>20</v>
      </c>
      <c r="K322">
        <v>65</v>
      </c>
      <c r="L322">
        <v>5000</v>
      </c>
      <c r="M322" t="s">
        <v>17</v>
      </c>
    </row>
    <row r="323" spans="1:13" x14ac:dyDescent="0.25">
      <c r="A323">
        <v>322</v>
      </c>
      <c r="B323" t="s">
        <v>28</v>
      </c>
      <c r="C323">
        <v>53</v>
      </c>
      <c r="D323" t="s">
        <v>34</v>
      </c>
      <c r="E323">
        <v>8.4</v>
      </c>
      <c r="F323">
        <v>9</v>
      </c>
      <c r="G323">
        <v>30</v>
      </c>
      <c r="H323">
        <v>3</v>
      </c>
      <c r="I323" t="s">
        <v>19</v>
      </c>
      <c r="J323" t="s">
        <v>20</v>
      </c>
      <c r="K323">
        <v>65</v>
      </c>
      <c r="L323">
        <v>5000</v>
      </c>
      <c r="M323" t="s">
        <v>17</v>
      </c>
    </row>
    <row r="324" spans="1:13" x14ac:dyDescent="0.25">
      <c r="A324">
        <v>323</v>
      </c>
      <c r="B324" t="s">
        <v>28</v>
      </c>
      <c r="C324">
        <v>53</v>
      </c>
      <c r="D324" t="s">
        <v>34</v>
      </c>
      <c r="E324">
        <v>8.4</v>
      </c>
      <c r="F324">
        <v>9</v>
      </c>
      <c r="G324">
        <v>30</v>
      </c>
      <c r="H324">
        <v>3</v>
      </c>
      <c r="I324" t="s">
        <v>19</v>
      </c>
      <c r="J324" t="s">
        <v>20</v>
      </c>
      <c r="K324">
        <v>65</v>
      </c>
      <c r="L324">
        <v>5000</v>
      </c>
      <c r="M324" t="s">
        <v>17</v>
      </c>
    </row>
    <row r="325" spans="1:13" x14ac:dyDescent="0.25">
      <c r="A325">
        <v>324</v>
      </c>
      <c r="B325" t="s">
        <v>28</v>
      </c>
      <c r="C325">
        <v>53</v>
      </c>
      <c r="D325" t="s">
        <v>34</v>
      </c>
      <c r="E325">
        <v>8.5</v>
      </c>
      <c r="F325">
        <v>9</v>
      </c>
      <c r="G325">
        <v>30</v>
      </c>
      <c r="H325">
        <v>3</v>
      </c>
      <c r="I325" t="s">
        <v>19</v>
      </c>
      <c r="J325" t="s">
        <v>20</v>
      </c>
      <c r="K325">
        <v>65</v>
      </c>
      <c r="L325">
        <v>5000</v>
      </c>
      <c r="M325" t="s">
        <v>17</v>
      </c>
    </row>
    <row r="326" spans="1:13" x14ac:dyDescent="0.25">
      <c r="A326">
        <v>325</v>
      </c>
      <c r="B326" t="s">
        <v>28</v>
      </c>
      <c r="C326">
        <v>53</v>
      </c>
      <c r="D326" t="s">
        <v>34</v>
      </c>
      <c r="E326">
        <v>8.3000000000000007</v>
      </c>
      <c r="F326">
        <v>9</v>
      </c>
      <c r="G326">
        <v>30</v>
      </c>
      <c r="H326">
        <v>3</v>
      </c>
      <c r="I326" t="s">
        <v>19</v>
      </c>
      <c r="J326" t="s">
        <v>20</v>
      </c>
      <c r="K326">
        <v>65</v>
      </c>
      <c r="L326">
        <v>5000</v>
      </c>
      <c r="M326" t="s">
        <v>17</v>
      </c>
    </row>
    <row r="327" spans="1:13" x14ac:dyDescent="0.25">
      <c r="A327">
        <v>326</v>
      </c>
      <c r="B327" t="s">
        <v>28</v>
      </c>
      <c r="C327">
        <v>53</v>
      </c>
      <c r="D327" t="s">
        <v>34</v>
      </c>
      <c r="E327">
        <v>8.5</v>
      </c>
      <c r="F327">
        <v>9</v>
      </c>
      <c r="G327">
        <v>30</v>
      </c>
      <c r="H327">
        <v>3</v>
      </c>
      <c r="I327" t="s">
        <v>19</v>
      </c>
      <c r="J327" t="s">
        <v>20</v>
      </c>
      <c r="K327">
        <v>65</v>
      </c>
      <c r="L327">
        <v>5000</v>
      </c>
      <c r="M327" t="s">
        <v>17</v>
      </c>
    </row>
    <row r="328" spans="1:13" x14ac:dyDescent="0.25">
      <c r="A328">
        <v>327</v>
      </c>
      <c r="B328" t="s">
        <v>28</v>
      </c>
      <c r="C328">
        <v>53</v>
      </c>
      <c r="D328" t="s">
        <v>34</v>
      </c>
      <c r="E328">
        <v>8.3000000000000007</v>
      </c>
      <c r="F328">
        <v>9</v>
      </c>
      <c r="G328">
        <v>30</v>
      </c>
      <c r="H328">
        <v>3</v>
      </c>
      <c r="I328" t="s">
        <v>19</v>
      </c>
      <c r="J328" t="s">
        <v>20</v>
      </c>
      <c r="K328">
        <v>65</v>
      </c>
      <c r="L328">
        <v>5000</v>
      </c>
      <c r="M328" t="s">
        <v>17</v>
      </c>
    </row>
    <row r="329" spans="1:13" x14ac:dyDescent="0.25">
      <c r="A329">
        <v>328</v>
      </c>
      <c r="B329" t="s">
        <v>28</v>
      </c>
      <c r="C329">
        <v>53</v>
      </c>
      <c r="D329" t="s">
        <v>34</v>
      </c>
      <c r="E329">
        <v>8.5</v>
      </c>
      <c r="F329">
        <v>9</v>
      </c>
      <c r="G329">
        <v>30</v>
      </c>
      <c r="H329">
        <v>3</v>
      </c>
      <c r="I329" t="s">
        <v>19</v>
      </c>
      <c r="J329" t="s">
        <v>20</v>
      </c>
      <c r="K329">
        <v>65</v>
      </c>
      <c r="L329">
        <v>5000</v>
      </c>
      <c r="M329" t="s">
        <v>17</v>
      </c>
    </row>
    <row r="330" spans="1:13" x14ac:dyDescent="0.25">
      <c r="A330">
        <v>329</v>
      </c>
      <c r="B330" t="s">
        <v>28</v>
      </c>
      <c r="C330">
        <v>53</v>
      </c>
      <c r="D330" t="s">
        <v>34</v>
      </c>
      <c r="E330">
        <v>8.3000000000000007</v>
      </c>
      <c r="F330">
        <v>9</v>
      </c>
      <c r="G330">
        <v>30</v>
      </c>
      <c r="H330">
        <v>3</v>
      </c>
      <c r="I330" t="s">
        <v>19</v>
      </c>
      <c r="J330" t="s">
        <v>20</v>
      </c>
      <c r="K330">
        <v>65</v>
      </c>
      <c r="L330">
        <v>5000</v>
      </c>
      <c r="M330" t="s">
        <v>17</v>
      </c>
    </row>
    <row r="331" spans="1:13" x14ac:dyDescent="0.25">
      <c r="A331">
        <v>330</v>
      </c>
      <c r="B331" t="s">
        <v>28</v>
      </c>
      <c r="C331">
        <v>53</v>
      </c>
      <c r="D331" t="s">
        <v>34</v>
      </c>
      <c r="E331">
        <v>8.5</v>
      </c>
      <c r="F331">
        <v>9</v>
      </c>
      <c r="G331">
        <v>30</v>
      </c>
      <c r="H331">
        <v>3</v>
      </c>
      <c r="I331" t="s">
        <v>19</v>
      </c>
      <c r="J331" t="s">
        <v>20</v>
      </c>
      <c r="K331">
        <v>65</v>
      </c>
      <c r="L331">
        <v>5000</v>
      </c>
      <c r="M331" t="s">
        <v>17</v>
      </c>
    </row>
    <row r="332" spans="1:13" x14ac:dyDescent="0.25">
      <c r="A332">
        <v>331</v>
      </c>
      <c r="B332" t="s">
        <v>28</v>
      </c>
      <c r="C332">
        <v>53</v>
      </c>
      <c r="D332" t="s">
        <v>34</v>
      </c>
      <c r="E332">
        <v>8.5</v>
      </c>
      <c r="F332">
        <v>9</v>
      </c>
      <c r="G332">
        <v>30</v>
      </c>
      <c r="H332">
        <v>3</v>
      </c>
      <c r="I332" t="s">
        <v>19</v>
      </c>
      <c r="J332" t="s">
        <v>20</v>
      </c>
      <c r="K332">
        <v>65</v>
      </c>
      <c r="L332">
        <v>5000</v>
      </c>
      <c r="M332" t="s">
        <v>17</v>
      </c>
    </row>
    <row r="333" spans="1:13" x14ac:dyDescent="0.25">
      <c r="A333">
        <v>332</v>
      </c>
      <c r="B333" t="s">
        <v>28</v>
      </c>
      <c r="C333">
        <v>53</v>
      </c>
      <c r="D333" t="s">
        <v>34</v>
      </c>
      <c r="E333">
        <v>8.4</v>
      </c>
      <c r="F333">
        <v>9</v>
      </c>
      <c r="G333">
        <v>30</v>
      </c>
      <c r="H333">
        <v>3</v>
      </c>
      <c r="I333" t="s">
        <v>19</v>
      </c>
      <c r="J333" t="s">
        <v>20</v>
      </c>
      <c r="K333">
        <v>65</v>
      </c>
      <c r="L333">
        <v>5000</v>
      </c>
      <c r="M333" t="s">
        <v>17</v>
      </c>
    </row>
    <row r="334" spans="1:13" x14ac:dyDescent="0.25">
      <c r="A334">
        <v>333</v>
      </c>
      <c r="B334" t="s">
        <v>28</v>
      </c>
      <c r="C334">
        <v>54</v>
      </c>
      <c r="D334" t="s">
        <v>34</v>
      </c>
      <c r="E334">
        <v>8.4</v>
      </c>
      <c r="F334">
        <v>9</v>
      </c>
      <c r="G334">
        <v>30</v>
      </c>
      <c r="H334">
        <v>3</v>
      </c>
      <c r="I334" t="s">
        <v>19</v>
      </c>
      <c r="J334" t="s">
        <v>20</v>
      </c>
      <c r="K334">
        <v>65</v>
      </c>
      <c r="L334">
        <v>5000</v>
      </c>
      <c r="M334" t="s">
        <v>17</v>
      </c>
    </row>
    <row r="335" spans="1:13" x14ac:dyDescent="0.25">
      <c r="A335">
        <v>334</v>
      </c>
      <c r="B335" t="s">
        <v>28</v>
      </c>
      <c r="C335">
        <v>54</v>
      </c>
      <c r="D335" t="s">
        <v>34</v>
      </c>
      <c r="E335">
        <v>8.4</v>
      </c>
      <c r="F335">
        <v>9</v>
      </c>
      <c r="G335">
        <v>30</v>
      </c>
      <c r="H335">
        <v>3</v>
      </c>
      <c r="I335" t="s">
        <v>19</v>
      </c>
      <c r="J335" t="s">
        <v>20</v>
      </c>
      <c r="K335">
        <v>65</v>
      </c>
      <c r="L335">
        <v>5000</v>
      </c>
      <c r="M335" t="s">
        <v>17</v>
      </c>
    </row>
    <row r="336" spans="1:13" x14ac:dyDescent="0.25">
      <c r="A336">
        <v>335</v>
      </c>
      <c r="B336" t="s">
        <v>28</v>
      </c>
      <c r="C336">
        <v>54</v>
      </c>
      <c r="D336" t="s">
        <v>34</v>
      </c>
      <c r="E336">
        <v>8.4</v>
      </c>
      <c r="F336">
        <v>9</v>
      </c>
      <c r="G336">
        <v>30</v>
      </c>
      <c r="H336">
        <v>3</v>
      </c>
      <c r="I336" t="s">
        <v>19</v>
      </c>
      <c r="J336" t="s">
        <v>20</v>
      </c>
      <c r="K336">
        <v>65</v>
      </c>
      <c r="L336">
        <v>5000</v>
      </c>
      <c r="M336" t="s">
        <v>17</v>
      </c>
    </row>
    <row r="337" spans="1:13" x14ac:dyDescent="0.25">
      <c r="A337">
        <v>336</v>
      </c>
      <c r="B337" t="s">
        <v>28</v>
      </c>
      <c r="C337">
        <v>54</v>
      </c>
      <c r="D337" t="s">
        <v>34</v>
      </c>
      <c r="E337">
        <v>8.4</v>
      </c>
      <c r="F337">
        <v>9</v>
      </c>
      <c r="G337">
        <v>30</v>
      </c>
      <c r="H337">
        <v>3</v>
      </c>
      <c r="I337" t="s">
        <v>19</v>
      </c>
      <c r="J337" t="s">
        <v>20</v>
      </c>
      <c r="K337">
        <v>65</v>
      </c>
      <c r="L337">
        <v>5000</v>
      </c>
      <c r="M337" t="s">
        <v>17</v>
      </c>
    </row>
    <row r="338" spans="1:13" x14ac:dyDescent="0.25">
      <c r="A338">
        <v>337</v>
      </c>
      <c r="B338" t="s">
        <v>28</v>
      </c>
      <c r="C338">
        <v>54</v>
      </c>
      <c r="D338" t="s">
        <v>34</v>
      </c>
      <c r="E338">
        <v>8.4</v>
      </c>
      <c r="F338">
        <v>9</v>
      </c>
      <c r="G338">
        <v>30</v>
      </c>
      <c r="H338">
        <v>3</v>
      </c>
      <c r="I338" t="s">
        <v>19</v>
      </c>
      <c r="J338" t="s">
        <v>20</v>
      </c>
      <c r="K338">
        <v>65</v>
      </c>
      <c r="L338">
        <v>5000</v>
      </c>
      <c r="M338" t="s">
        <v>17</v>
      </c>
    </row>
    <row r="339" spans="1:13" x14ac:dyDescent="0.25">
      <c r="A339">
        <v>338</v>
      </c>
      <c r="B339" t="s">
        <v>28</v>
      </c>
      <c r="C339">
        <v>54</v>
      </c>
      <c r="D339" t="s">
        <v>34</v>
      </c>
      <c r="E339">
        <v>8.4</v>
      </c>
      <c r="F339">
        <v>9</v>
      </c>
      <c r="G339">
        <v>30</v>
      </c>
      <c r="H339">
        <v>3</v>
      </c>
      <c r="I339" t="s">
        <v>19</v>
      </c>
      <c r="J339" t="s">
        <v>20</v>
      </c>
      <c r="K339">
        <v>65</v>
      </c>
      <c r="L339">
        <v>5000</v>
      </c>
      <c r="M339" t="s">
        <v>17</v>
      </c>
    </row>
    <row r="340" spans="1:13" x14ac:dyDescent="0.25">
      <c r="A340">
        <v>339</v>
      </c>
      <c r="B340" t="s">
        <v>28</v>
      </c>
      <c r="C340">
        <v>54</v>
      </c>
      <c r="D340" t="s">
        <v>34</v>
      </c>
      <c r="E340">
        <v>8.5</v>
      </c>
      <c r="F340">
        <v>9</v>
      </c>
      <c r="G340">
        <v>30</v>
      </c>
      <c r="H340">
        <v>3</v>
      </c>
      <c r="I340" t="s">
        <v>19</v>
      </c>
      <c r="J340" t="s">
        <v>20</v>
      </c>
      <c r="K340">
        <v>65</v>
      </c>
      <c r="L340">
        <v>5000</v>
      </c>
      <c r="M340" t="s">
        <v>17</v>
      </c>
    </row>
    <row r="341" spans="1:13" x14ac:dyDescent="0.25">
      <c r="A341">
        <v>340</v>
      </c>
      <c r="B341" t="s">
        <v>28</v>
      </c>
      <c r="C341">
        <v>55</v>
      </c>
      <c r="D341" t="s">
        <v>29</v>
      </c>
      <c r="E341">
        <v>8.1</v>
      </c>
      <c r="F341">
        <v>9</v>
      </c>
      <c r="G341">
        <v>75</v>
      </c>
      <c r="H341">
        <v>4</v>
      </c>
      <c r="I341" t="s">
        <v>15</v>
      </c>
      <c r="J341" t="s">
        <v>55</v>
      </c>
      <c r="K341">
        <v>72</v>
      </c>
      <c r="L341">
        <v>5000</v>
      </c>
      <c r="M341" t="s">
        <v>24</v>
      </c>
    </row>
    <row r="342" spans="1:13" x14ac:dyDescent="0.25">
      <c r="A342">
        <v>341</v>
      </c>
      <c r="B342" t="s">
        <v>28</v>
      </c>
      <c r="C342">
        <v>55</v>
      </c>
      <c r="D342" t="s">
        <v>29</v>
      </c>
      <c r="E342">
        <v>8.1</v>
      </c>
      <c r="F342">
        <v>9</v>
      </c>
      <c r="G342">
        <v>75</v>
      </c>
      <c r="H342">
        <v>4</v>
      </c>
      <c r="I342" t="s">
        <v>15</v>
      </c>
      <c r="J342" t="s">
        <v>55</v>
      </c>
      <c r="K342">
        <v>72</v>
      </c>
      <c r="L342">
        <v>5000</v>
      </c>
      <c r="M342" t="s">
        <v>24</v>
      </c>
    </row>
    <row r="343" spans="1:13" x14ac:dyDescent="0.25">
      <c r="A343">
        <v>342</v>
      </c>
      <c r="B343" t="s">
        <v>28</v>
      </c>
      <c r="C343">
        <v>56</v>
      </c>
      <c r="D343" t="s">
        <v>18</v>
      </c>
      <c r="E343">
        <v>8.1999999999999993</v>
      </c>
      <c r="F343">
        <v>9</v>
      </c>
      <c r="G343">
        <v>90</v>
      </c>
      <c r="H343">
        <v>3</v>
      </c>
      <c r="I343" t="s">
        <v>30</v>
      </c>
      <c r="J343" t="s">
        <v>57</v>
      </c>
      <c r="K343">
        <v>65</v>
      </c>
      <c r="L343">
        <v>10000</v>
      </c>
      <c r="M343" t="s">
        <v>17</v>
      </c>
    </row>
    <row r="344" spans="1:13" x14ac:dyDescent="0.25">
      <c r="A344">
        <v>343</v>
      </c>
      <c r="B344" t="s">
        <v>28</v>
      </c>
      <c r="C344">
        <v>56</v>
      </c>
      <c r="D344" t="s">
        <v>18</v>
      </c>
      <c r="E344">
        <v>8.1999999999999993</v>
      </c>
      <c r="F344">
        <v>9</v>
      </c>
      <c r="G344">
        <v>90</v>
      </c>
      <c r="H344">
        <v>3</v>
      </c>
      <c r="I344" t="s">
        <v>30</v>
      </c>
      <c r="J344" t="s">
        <v>57</v>
      </c>
      <c r="K344">
        <v>65</v>
      </c>
      <c r="L344">
        <v>10000</v>
      </c>
      <c r="M344" t="s">
        <v>17</v>
      </c>
    </row>
    <row r="345" spans="1:13" x14ac:dyDescent="0.25">
      <c r="A345">
        <v>344</v>
      </c>
      <c r="B345" t="s">
        <v>28</v>
      </c>
      <c r="C345">
        <v>57</v>
      </c>
      <c r="D345" t="s">
        <v>29</v>
      </c>
      <c r="E345">
        <v>8.1</v>
      </c>
      <c r="F345">
        <v>9</v>
      </c>
      <c r="G345">
        <v>75</v>
      </c>
      <c r="H345">
        <v>3</v>
      </c>
      <c r="I345" t="s">
        <v>15</v>
      </c>
      <c r="J345" t="s">
        <v>55</v>
      </c>
      <c r="K345">
        <v>68</v>
      </c>
      <c r="L345">
        <v>7000</v>
      </c>
      <c r="M345" t="s">
        <v>17</v>
      </c>
    </row>
    <row r="346" spans="1:13" x14ac:dyDescent="0.25">
      <c r="A346">
        <v>345</v>
      </c>
      <c r="B346" t="s">
        <v>28</v>
      </c>
      <c r="C346">
        <v>57</v>
      </c>
      <c r="D346" t="s">
        <v>29</v>
      </c>
      <c r="E346">
        <v>8.1999999999999993</v>
      </c>
      <c r="F346">
        <v>9</v>
      </c>
      <c r="G346">
        <v>75</v>
      </c>
      <c r="H346">
        <v>3</v>
      </c>
      <c r="I346" t="s">
        <v>15</v>
      </c>
      <c r="J346" t="s">
        <v>55</v>
      </c>
      <c r="K346">
        <v>68</v>
      </c>
      <c r="L346">
        <v>7000</v>
      </c>
      <c r="M346" t="s">
        <v>24</v>
      </c>
    </row>
    <row r="347" spans="1:13" x14ac:dyDescent="0.25">
      <c r="A347">
        <v>346</v>
      </c>
      <c r="B347" t="s">
        <v>28</v>
      </c>
      <c r="C347">
        <v>57</v>
      </c>
      <c r="D347" t="s">
        <v>29</v>
      </c>
      <c r="E347">
        <v>8.1999999999999993</v>
      </c>
      <c r="F347">
        <v>9</v>
      </c>
      <c r="G347">
        <v>75</v>
      </c>
      <c r="H347">
        <v>3</v>
      </c>
      <c r="I347" t="s">
        <v>15</v>
      </c>
      <c r="J347" t="s">
        <v>55</v>
      </c>
      <c r="K347">
        <v>68</v>
      </c>
      <c r="L347">
        <v>7000</v>
      </c>
      <c r="M347" t="s">
        <v>24</v>
      </c>
    </row>
    <row r="348" spans="1:13" x14ac:dyDescent="0.25">
      <c r="A348">
        <v>347</v>
      </c>
      <c r="B348" t="s">
        <v>28</v>
      </c>
      <c r="C348">
        <v>57</v>
      </c>
      <c r="D348" t="s">
        <v>29</v>
      </c>
      <c r="E348">
        <v>8.1999999999999993</v>
      </c>
      <c r="F348">
        <v>9</v>
      </c>
      <c r="G348">
        <v>75</v>
      </c>
      <c r="H348">
        <v>3</v>
      </c>
      <c r="I348" t="s">
        <v>15</v>
      </c>
      <c r="J348" t="s">
        <v>55</v>
      </c>
      <c r="K348">
        <v>68</v>
      </c>
      <c r="L348">
        <v>7000</v>
      </c>
      <c r="M348" t="s">
        <v>24</v>
      </c>
    </row>
    <row r="349" spans="1:13" x14ac:dyDescent="0.25">
      <c r="A349">
        <v>348</v>
      </c>
      <c r="B349" t="s">
        <v>28</v>
      </c>
      <c r="C349">
        <v>57</v>
      </c>
      <c r="D349" t="s">
        <v>29</v>
      </c>
      <c r="E349">
        <v>8.1999999999999993</v>
      </c>
      <c r="F349">
        <v>9</v>
      </c>
      <c r="G349">
        <v>75</v>
      </c>
      <c r="H349">
        <v>3</v>
      </c>
      <c r="I349" t="s">
        <v>15</v>
      </c>
      <c r="J349" t="s">
        <v>55</v>
      </c>
      <c r="K349">
        <v>68</v>
      </c>
      <c r="L349">
        <v>7000</v>
      </c>
      <c r="M349" t="s">
        <v>24</v>
      </c>
    </row>
    <row r="350" spans="1:13" x14ac:dyDescent="0.25">
      <c r="A350">
        <v>349</v>
      </c>
      <c r="B350" t="s">
        <v>28</v>
      </c>
      <c r="C350">
        <v>57</v>
      </c>
      <c r="D350" t="s">
        <v>29</v>
      </c>
      <c r="E350">
        <v>8.1999999999999993</v>
      </c>
      <c r="F350">
        <v>9</v>
      </c>
      <c r="G350">
        <v>75</v>
      </c>
      <c r="H350">
        <v>3</v>
      </c>
      <c r="I350" t="s">
        <v>15</v>
      </c>
      <c r="J350" t="s">
        <v>55</v>
      </c>
      <c r="K350">
        <v>68</v>
      </c>
      <c r="L350">
        <v>7000</v>
      </c>
      <c r="M350" t="s">
        <v>24</v>
      </c>
    </row>
    <row r="351" spans="1:13" x14ac:dyDescent="0.25">
      <c r="A351">
        <v>350</v>
      </c>
      <c r="B351" t="s">
        <v>28</v>
      </c>
      <c r="C351">
        <v>57</v>
      </c>
      <c r="D351" t="s">
        <v>29</v>
      </c>
      <c r="E351">
        <v>8.1</v>
      </c>
      <c r="F351">
        <v>9</v>
      </c>
      <c r="G351">
        <v>75</v>
      </c>
      <c r="H351">
        <v>3</v>
      </c>
      <c r="I351" t="s">
        <v>15</v>
      </c>
      <c r="J351" t="s">
        <v>55</v>
      </c>
      <c r="K351">
        <v>68</v>
      </c>
      <c r="L351">
        <v>7000</v>
      </c>
      <c r="M351" t="s">
        <v>24</v>
      </c>
    </row>
    <row r="352" spans="1:13" x14ac:dyDescent="0.25">
      <c r="A352">
        <v>351</v>
      </c>
      <c r="B352" t="s">
        <v>28</v>
      </c>
      <c r="C352">
        <v>57</v>
      </c>
      <c r="D352" t="s">
        <v>29</v>
      </c>
      <c r="E352">
        <v>8.1</v>
      </c>
      <c r="F352">
        <v>9</v>
      </c>
      <c r="G352">
        <v>75</v>
      </c>
      <c r="H352">
        <v>3</v>
      </c>
      <c r="I352" t="s">
        <v>15</v>
      </c>
      <c r="J352" t="s">
        <v>55</v>
      </c>
      <c r="K352">
        <v>68</v>
      </c>
      <c r="L352">
        <v>7000</v>
      </c>
      <c r="M352" t="s">
        <v>24</v>
      </c>
    </row>
    <row r="353" spans="1:13" x14ac:dyDescent="0.25">
      <c r="A353">
        <v>352</v>
      </c>
      <c r="B353" t="s">
        <v>28</v>
      </c>
      <c r="C353">
        <v>57</v>
      </c>
      <c r="D353" t="s">
        <v>29</v>
      </c>
      <c r="E353">
        <v>8.1</v>
      </c>
      <c r="F353">
        <v>9</v>
      </c>
      <c r="G353">
        <v>75</v>
      </c>
      <c r="H353">
        <v>3</v>
      </c>
      <c r="I353" t="s">
        <v>15</v>
      </c>
      <c r="J353" t="s">
        <v>55</v>
      </c>
      <c r="K353">
        <v>68</v>
      </c>
      <c r="L353">
        <v>7000</v>
      </c>
      <c r="M353" t="s">
        <v>24</v>
      </c>
    </row>
    <row r="354" spans="1:13" x14ac:dyDescent="0.25">
      <c r="A354">
        <v>353</v>
      </c>
      <c r="B354" t="s">
        <v>28</v>
      </c>
      <c r="C354">
        <v>58</v>
      </c>
      <c r="D354" t="s">
        <v>29</v>
      </c>
      <c r="E354">
        <v>8</v>
      </c>
      <c r="F354">
        <v>9</v>
      </c>
      <c r="G354">
        <v>75</v>
      </c>
      <c r="H354">
        <v>3</v>
      </c>
      <c r="I354" t="s">
        <v>15</v>
      </c>
      <c r="J354" t="s">
        <v>55</v>
      </c>
      <c r="K354">
        <v>68</v>
      </c>
      <c r="L354">
        <v>7000</v>
      </c>
      <c r="M354" t="s">
        <v>24</v>
      </c>
    </row>
    <row r="355" spans="1:13" x14ac:dyDescent="0.25">
      <c r="A355">
        <v>354</v>
      </c>
      <c r="B355" t="s">
        <v>28</v>
      </c>
      <c r="C355">
        <v>58</v>
      </c>
      <c r="D355" t="s">
        <v>29</v>
      </c>
      <c r="E355">
        <v>8</v>
      </c>
      <c r="F355">
        <v>9</v>
      </c>
      <c r="G355">
        <v>75</v>
      </c>
      <c r="H355">
        <v>3</v>
      </c>
      <c r="I355" t="s">
        <v>15</v>
      </c>
      <c r="J355" t="s">
        <v>55</v>
      </c>
      <c r="K355">
        <v>68</v>
      </c>
      <c r="L355">
        <v>7000</v>
      </c>
      <c r="M355" t="s">
        <v>24</v>
      </c>
    </row>
    <row r="356" spans="1:13" x14ac:dyDescent="0.25">
      <c r="A356">
        <v>355</v>
      </c>
      <c r="B356" t="s">
        <v>28</v>
      </c>
      <c r="C356">
        <v>58</v>
      </c>
      <c r="D356" t="s">
        <v>29</v>
      </c>
      <c r="E356">
        <v>8</v>
      </c>
      <c r="F356">
        <v>9</v>
      </c>
      <c r="G356">
        <v>75</v>
      </c>
      <c r="H356">
        <v>3</v>
      </c>
      <c r="I356" t="s">
        <v>15</v>
      </c>
      <c r="J356" t="s">
        <v>55</v>
      </c>
      <c r="K356">
        <v>68</v>
      </c>
      <c r="L356">
        <v>7000</v>
      </c>
      <c r="M356" t="s">
        <v>24</v>
      </c>
    </row>
    <row r="357" spans="1:13" x14ac:dyDescent="0.25">
      <c r="A357">
        <v>356</v>
      </c>
      <c r="B357" t="s">
        <v>28</v>
      </c>
      <c r="C357">
        <v>58</v>
      </c>
      <c r="D357" t="s">
        <v>29</v>
      </c>
      <c r="E357">
        <v>8</v>
      </c>
      <c r="F357">
        <v>9</v>
      </c>
      <c r="G357">
        <v>75</v>
      </c>
      <c r="H357">
        <v>3</v>
      </c>
      <c r="I357" t="s">
        <v>15</v>
      </c>
      <c r="J357" t="s">
        <v>55</v>
      </c>
      <c r="K357">
        <v>68</v>
      </c>
      <c r="L357">
        <v>7000</v>
      </c>
      <c r="M357" t="s">
        <v>24</v>
      </c>
    </row>
    <row r="358" spans="1:13" x14ac:dyDescent="0.25">
      <c r="A358">
        <v>357</v>
      </c>
      <c r="B358" t="s">
        <v>28</v>
      </c>
      <c r="C358">
        <v>58</v>
      </c>
      <c r="D358" t="s">
        <v>29</v>
      </c>
      <c r="E358">
        <v>8</v>
      </c>
      <c r="F358">
        <v>9</v>
      </c>
      <c r="G358">
        <v>75</v>
      </c>
      <c r="H358">
        <v>3</v>
      </c>
      <c r="I358" t="s">
        <v>15</v>
      </c>
      <c r="J358" t="s">
        <v>55</v>
      </c>
      <c r="K358">
        <v>68</v>
      </c>
      <c r="L358">
        <v>7000</v>
      </c>
      <c r="M358" t="s">
        <v>24</v>
      </c>
    </row>
    <row r="359" spans="1:13" x14ac:dyDescent="0.25">
      <c r="A359">
        <v>358</v>
      </c>
      <c r="B359" t="s">
        <v>28</v>
      </c>
      <c r="C359">
        <v>58</v>
      </c>
      <c r="D359" t="s">
        <v>29</v>
      </c>
      <c r="E359">
        <v>8</v>
      </c>
      <c r="F359">
        <v>9</v>
      </c>
      <c r="G359">
        <v>75</v>
      </c>
      <c r="H359">
        <v>3</v>
      </c>
      <c r="I359" t="s">
        <v>15</v>
      </c>
      <c r="J359" t="s">
        <v>55</v>
      </c>
      <c r="K359">
        <v>68</v>
      </c>
      <c r="L359">
        <v>7000</v>
      </c>
      <c r="M359" t="s">
        <v>24</v>
      </c>
    </row>
    <row r="360" spans="1:13" x14ac:dyDescent="0.25">
      <c r="A360">
        <v>359</v>
      </c>
      <c r="B360" t="s">
        <v>28</v>
      </c>
      <c r="C360">
        <v>59</v>
      </c>
      <c r="D360" t="s">
        <v>29</v>
      </c>
      <c r="E360">
        <v>8</v>
      </c>
      <c r="F360">
        <v>9</v>
      </c>
      <c r="G360">
        <v>75</v>
      </c>
      <c r="H360">
        <v>3</v>
      </c>
      <c r="I360" t="s">
        <v>15</v>
      </c>
      <c r="J360" t="s">
        <v>55</v>
      </c>
      <c r="K360">
        <v>68</v>
      </c>
      <c r="L360">
        <v>7000</v>
      </c>
      <c r="M360" t="s">
        <v>17</v>
      </c>
    </row>
    <row r="361" spans="1:13" x14ac:dyDescent="0.25">
      <c r="A361">
        <v>360</v>
      </c>
      <c r="B361" t="s">
        <v>28</v>
      </c>
      <c r="C361">
        <v>59</v>
      </c>
      <c r="D361" t="s">
        <v>29</v>
      </c>
      <c r="E361">
        <v>8.1</v>
      </c>
      <c r="F361">
        <v>9</v>
      </c>
      <c r="G361">
        <v>75</v>
      </c>
      <c r="H361">
        <v>3</v>
      </c>
      <c r="I361" t="s">
        <v>15</v>
      </c>
      <c r="J361" t="s">
        <v>55</v>
      </c>
      <c r="K361">
        <v>68</v>
      </c>
      <c r="L361">
        <v>7000</v>
      </c>
      <c r="M361" t="s">
        <v>17</v>
      </c>
    </row>
    <row r="362" spans="1:13" x14ac:dyDescent="0.25">
      <c r="A362">
        <v>361</v>
      </c>
      <c r="B362" t="s">
        <v>28</v>
      </c>
      <c r="C362">
        <v>59</v>
      </c>
      <c r="D362" t="s">
        <v>29</v>
      </c>
      <c r="E362">
        <v>8.1999999999999993</v>
      </c>
      <c r="F362">
        <v>9</v>
      </c>
      <c r="G362">
        <v>75</v>
      </c>
      <c r="H362">
        <v>3</v>
      </c>
      <c r="I362" t="s">
        <v>15</v>
      </c>
      <c r="J362" t="s">
        <v>55</v>
      </c>
      <c r="K362">
        <v>68</v>
      </c>
      <c r="L362">
        <v>7000</v>
      </c>
      <c r="M362" t="s">
        <v>24</v>
      </c>
    </row>
    <row r="363" spans="1:13" x14ac:dyDescent="0.25">
      <c r="A363">
        <v>362</v>
      </c>
      <c r="B363" t="s">
        <v>28</v>
      </c>
      <c r="C363">
        <v>59</v>
      </c>
      <c r="D363" t="s">
        <v>29</v>
      </c>
      <c r="E363">
        <v>8.1999999999999993</v>
      </c>
      <c r="F363">
        <v>9</v>
      </c>
      <c r="G363">
        <v>75</v>
      </c>
      <c r="H363">
        <v>3</v>
      </c>
      <c r="I363" t="s">
        <v>15</v>
      </c>
      <c r="J363" t="s">
        <v>55</v>
      </c>
      <c r="K363">
        <v>68</v>
      </c>
      <c r="L363">
        <v>7000</v>
      </c>
      <c r="M363" t="s">
        <v>24</v>
      </c>
    </row>
    <row r="364" spans="1:13" x14ac:dyDescent="0.25">
      <c r="A364">
        <v>363</v>
      </c>
      <c r="B364" t="s">
        <v>28</v>
      </c>
      <c r="C364">
        <v>59</v>
      </c>
      <c r="D364" t="s">
        <v>29</v>
      </c>
      <c r="E364">
        <v>8.1999999999999993</v>
      </c>
      <c r="F364">
        <v>9</v>
      </c>
      <c r="G364">
        <v>75</v>
      </c>
      <c r="H364">
        <v>3</v>
      </c>
      <c r="I364" t="s">
        <v>15</v>
      </c>
      <c r="J364" t="s">
        <v>55</v>
      </c>
      <c r="K364">
        <v>68</v>
      </c>
      <c r="L364">
        <v>7000</v>
      </c>
      <c r="M364" t="s">
        <v>24</v>
      </c>
    </row>
    <row r="365" spans="1:13" x14ac:dyDescent="0.25">
      <c r="A365">
        <v>364</v>
      </c>
      <c r="B365" t="s">
        <v>28</v>
      </c>
      <c r="C365">
        <v>59</v>
      </c>
      <c r="D365" t="s">
        <v>29</v>
      </c>
      <c r="E365">
        <v>8.1999999999999993</v>
      </c>
      <c r="F365">
        <v>9</v>
      </c>
      <c r="G365">
        <v>75</v>
      </c>
      <c r="H365">
        <v>3</v>
      </c>
      <c r="I365" t="s">
        <v>15</v>
      </c>
      <c r="J365" t="s">
        <v>55</v>
      </c>
      <c r="K365">
        <v>68</v>
      </c>
      <c r="L365">
        <v>7000</v>
      </c>
      <c r="M365" t="s">
        <v>24</v>
      </c>
    </row>
    <row r="366" spans="1:13" x14ac:dyDescent="0.25">
      <c r="A366">
        <v>365</v>
      </c>
      <c r="B366" t="s">
        <v>28</v>
      </c>
      <c r="C366">
        <v>59</v>
      </c>
      <c r="D366" t="s">
        <v>29</v>
      </c>
      <c r="E366">
        <v>8</v>
      </c>
      <c r="F366">
        <v>9</v>
      </c>
      <c r="G366">
        <v>75</v>
      </c>
      <c r="H366">
        <v>3</v>
      </c>
      <c r="I366" t="s">
        <v>15</v>
      </c>
      <c r="J366" t="s">
        <v>55</v>
      </c>
      <c r="K366">
        <v>68</v>
      </c>
      <c r="L366">
        <v>7000</v>
      </c>
      <c r="M366" t="s">
        <v>24</v>
      </c>
    </row>
    <row r="367" spans="1:13" x14ac:dyDescent="0.25">
      <c r="A367">
        <v>366</v>
      </c>
      <c r="B367" t="s">
        <v>28</v>
      </c>
      <c r="C367">
        <v>59</v>
      </c>
      <c r="D367" t="s">
        <v>29</v>
      </c>
      <c r="E367">
        <v>8</v>
      </c>
      <c r="F367">
        <v>9</v>
      </c>
      <c r="G367">
        <v>75</v>
      </c>
      <c r="H367">
        <v>3</v>
      </c>
      <c r="I367" t="s">
        <v>15</v>
      </c>
      <c r="J367" t="s">
        <v>55</v>
      </c>
      <c r="K367">
        <v>68</v>
      </c>
      <c r="L367">
        <v>7000</v>
      </c>
      <c r="M367" t="s">
        <v>24</v>
      </c>
    </row>
    <row r="368" spans="1:13" x14ac:dyDescent="0.25">
      <c r="A368">
        <v>367</v>
      </c>
      <c r="B368" t="s">
        <v>28</v>
      </c>
      <c r="C368">
        <v>59</v>
      </c>
      <c r="D368" t="s">
        <v>29</v>
      </c>
      <c r="E368">
        <v>8.1</v>
      </c>
      <c r="F368">
        <v>9</v>
      </c>
      <c r="G368">
        <v>75</v>
      </c>
      <c r="H368">
        <v>3</v>
      </c>
      <c r="I368" t="s">
        <v>15</v>
      </c>
      <c r="J368" t="s">
        <v>55</v>
      </c>
      <c r="K368">
        <v>68</v>
      </c>
      <c r="L368">
        <v>7000</v>
      </c>
      <c r="M368" t="s">
        <v>24</v>
      </c>
    </row>
    <row r="369" spans="1:13" x14ac:dyDescent="0.25">
      <c r="A369">
        <v>368</v>
      </c>
      <c r="B369" t="s">
        <v>28</v>
      </c>
      <c r="C369">
        <v>59</v>
      </c>
      <c r="D369" t="s">
        <v>29</v>
      </c>
      <c r="E369">
        <v>8</v>
      </c>
      <c r="F369">
        <v>9</v>
      </c>
      <c r="G369">
        <v>75</v>
      </c>
      <c r="H369">
        <v>3</v>
      </c>
      <c r="I369" t="s">
        <v>15</v>
      </c>
      <c r="J369" t="s">
        <v>55</v>
      </c>
      <c r="K369">
        <v>68</v>
      </c>
      <c r="L369">
        <v>7000</v>
      </c>
      <c r="M369" t="s">
        <v>24</v>
      </c>
    </row>
    <row r="370" spans="1:13" x14ac:dyDescent="0.25">
      <c r="A370">
        <v>369</v>
      </c>
      <c r="B370" t="s">
        <v>28</v>
      </c>
      <c r="C370">
        <v>59</v>
      </c>
      <c r="D370" t="s">
        <v>29</v>
      </c>
      <c r="E370">
        <v>8.1</v>
      </c>
      <c r="F370">
        <v>9</v>
      </c>
      <c r="G370">
        <v>75</v>
      </c>
      <c r="H370">
        <v>3</v>
      </c>
      <c r="I370" t="s">
        <v>15</v>
      </c>
      <c r="J370" t="s">
        <v>55</v>
      </c>
      <c r="K370">
        <v>68</v>
      </c>
      <c r="L370">
        <v>7000</v>
      </c>
      <c r="M370" t="s">
        <v>24</v>
      </c>
    </row>
    <row r="371" spans="1:13" x14ac:dyDescent="0.25">
      <c r="A371">
        <v>370</v>
      </c>
      <c r="B371" t="s">
        <v>28</v>
      </c>
      <c r="C371">
        <v>59</v>
      </c>
      <c r="D371" t="s">
        <v>29</v>
      </c>
      <c r="E371">
        <v>8.1</v>
      </c>
      <c r="F371">
        <v>9</v>
      </c>
      <c r="G371">
        <v>75</v>
      </c>
      <c r="H371">
        <v>3</v>
      </c>
      <c r="I371" t="s">
        <v>15</v>
      </c>
      <c r="J371" t="s">
        <v>55</v>
      </c>
      <c r="K371">
        <v>68</v>
      </c>
      <c r="L371">
        <v>7000</v>
      </c>
      <c r="M371" t="s">
        <v>24</v>
      </c>
    </row>
    <row r="372" spans="1:13" x14ac:dyDescent="0.25">
      <c r="A372">
        <v>371</v>
      </c>
      <c r="B372" t="s">
        <v>28</v>
      </c>
      <c r="C372">
        <v>59</v>
      </c>
      <c r="D372" t="s">
        <v>29</v>
      </c>
      <c r="E372">
        <v>8</v>
      </c>
      <c r="F372">
        <v>9</v>
      </c>
      <c r="G372">
        <v>75</v>
      </c>
      <c r="H372">
        <v>3</v>
      </c>
      <c r="I372" t="s">
        <v>15</v>
      </c>
      <c r="J372" t="s">
        <v>55</v>
      </c>
      <c r="K372">
        <v>68</v>
      </c>
      <c r="L372">
        <v>7000</v>
      </c>
      <c r="M372" t="s">
        <v>24</v>
      </c>
    </row>
    <row r="373" spans="1:13" x14ac:dyDescent="0.25">
      <c r="A373">
        <v>372</v>
      </c>
      <c r="B373" t="s">
        <v>28</v>
      </c>
      <c r="C373">
        <v>59</v>
      </c>
      <c r="D373" t="s">
        <v>29</v>
      </c>
      <c r="E373">
        <v>8.1</v>
      </c>
      <c r="F373">
        <v>9</v>
      </c>
      <c r="G373">
        <v>75</v>
      </c>
      <c r="H373">
        <v>3</v>
      </c>
      <c r="I373" t="s">
        <v>15</v>
      </c>
      <c r="J373" t="s">
        <v>55</v>
      </c>
      <c r="K373">
        <v>68</v>
      </c>
      <c r="L373">
        <v>7000</v>
      </c>
      <c r="M373" t="s">
        <v>24</v>
      </c>
    </row>
    <row r="374" spans="1:13" x14ac:dyDescent="0.25">
      <c r="A374">
        <v>373</v>
      </c>
      <c r="B374" t="s">
        <v>28</v>
      </c>
      <c r="C374">
        <v>59</v>
      </c>
      <c r="D374" t="s">
        <v>29</v>
      </c>
      <c r="E374">
        <v>8.1</v>
      </c>
      <c r="F374">
        <v>9</v>
      </c>
      <c r="G374">
        <v>75</v>
      </c>
      <c r="H374">
        <v>3</v>
      </c>
      <c r="I374" t="s">
        <v>15</v>
      </c>
      <c r="J374" t="s">
        <v>55</v>
      </c>
      <c r="K374">
        <v>68</v>
      </c>
      <c r="L374">
        <v>7000</v>
      </c>
      <c r="M374" t="s">
        <v>24</v>
      </c>
    </row>
    <row r="375" spans="1:13" x14ac:dyDescent="0.25">
      <c r="A375">
        <v>374</v>
      </c>
      <c r="B375" t="s">
        <v>28</v>
      </c>
      <c r="C375">
        <v>59</v>
      </c>
      <c r="D375" t="s">
        <v>29</v>
      </c>
      <c r="E375">
        <v>8.1</v>
      </c>
      <c r="F375">
        <v>9</v>
      </c>
      <c r="G375">
        <v>75</v>
      </c>
      <c r="H375">
        <v>3</v>
      </c>
      <c r="I375" t="s">
        <v>15</v>
      </c>
      <c r="J375" t="s">
        <v>55</v>
      </c>
      <c r="K375">
        <v>68</v>
      </c>
      <c r="L375">
        <v>7000</v>
      </c>
      <c r="M375"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4FAE-C6E8-4977-9817-678A02A78D16}">
  <dimension ref="A1:V375"/>
  <sheetViews>
    <sheetView topLeftCell="F2" workbookViewId="0">
      <selection activeCell="M2" sqref="M2:M375"/>
    </sheetView>
  </sheetViews>
  <sheetFormatPr defaultRowHeight="15" x14ac:dyDescent="0.25"/>
  <cols>
    <col min="1" max="1" width="11.7109375" bestFit="1" customWidth="1"/>
    <col min="2" max="2" width="10" bestFit="1" customWidth="1"/>
    <col min="3" max="3" width="6.7109375" bestFit="1" customWidth="1"/>
    <col min="4" max="4" width="19.85546875" bestFit="1" customWidth="1"/>
    <col min="5" max="5" width="16.5703125" bestFit="1" customWidth="1"/>
    <col min="6" max="6" width="17.5703125" bestFit="1" customWidth="1"/>
    <col min="7" max="7" width="23" bestFit="1" customWidth="1"/>
    <col min="8" max="8" width="13.7109375" bestFit="1" customWidth="1"/>
    <col min="9" max="9" width="15.140625" bestFit="1" customWidth="1"/>
    <col min="10" max="10" width="16.7109375" bestFit="1" customWidth="1"/>
    <col min="11" max="11" width="12.5703125" bestFit="1" customWidth="1"/>
    <col min="12" max="12" width="13" bestFit="1" customWidth="1"/>
    <col min="13" max="13" width="16.42578125" bestFit="1" customWidth="1"/>
    <col min="14" max="14" width="23" customWidth="1"/>
    <col min="15" max="15" width="18.5703125" customWidth="1"/>
  </cols>
  <sheetData>
    <row r="1" spans="1:22" s="1" customFormat="1" x14ac:dyDescent="0.25">
      <c r="A1" s="1" t="s">
        <v>0</v>
      </c>
      <c r="B1" s="1" t="s">
        <v>1</v>
      </c>
      <c r="C1" s="1" t="s">
        <v>2</v>
      </c>
      <c r="D1" s="1" t="s">
        <v>3</v>
      </c>
      <c r="E1" s="1" t="s">
        <v>4</v>
      </c>
      <c r="F1" s="1" t="s">
        <v>5</v>
      </c>
      <c r="G1" s="1" t="s">
        <v>6</v>
      </c>
      <c r="H1" s="1" t="s">
        <v>7</v>
      </c>
      <c r="I1" s="1" t="s">
        <v>8</v>
      </c>
      <c r="J1" s="1" t="s">
        <v>60</v>
      </c>
      <c r="K1" s="1" t="s">
        <v>61</v>
      </c>
      <c r="L1" s="1" t="s">
        <v>11</v>
      </c>
      <c r="M1" s="1" t="s">
        <v>12</v>
      </c>
      <c r="N1" s="1" t="s">
        <v>58</v>
      </c>
      <c r="O1" s="1" t="s">
        <v>59</v>
      </c>
    </row>
    <row r="2" spans="1:22" x14ac:dyDescent="0.25">
      <c r="A2">
        <v>1</v>
      </c>
      <c r="B2" t="s">
        <v>13</v>
      </c>
      <c r="C2">
        <v>27</v>
      </c>
      <c r="D2" t="s">
        <v>14</v>
      </c>
      <c r="E2">
        <v>6.1</v>
      </c>
      <c r="F2">
        <v>6</v>
      </c>
      <c r="G2">
        <v>42</v>
      </c>
      <c r="H2">
        <v>6</v>
      </c>
      <c r="I2" t="s">
        <v>15</v>
      </c>
      <c r="J2">
        <v>126</v>
      </c>
      <c r="K2">
        <v>83</v>
      </c>
      <c r="L2">
        <v>4200</v>
      </c>
      <c r="M2" t="s">
        <v>17</v>
      </c>
      <c r="N2" t="str">
        <f>IF(Sleep_health_and_lifestyle_dataset3[[#This Row],[Sleep Duration]]&gt;=8,"Good",IF(Sleep_health_and_lifestyle_dataset3[[#This Row],[Sleep Duration]]&gt;=5,"Average","Poor"))</f>
        <v>Average</v>
      </c>
      <c r="O2" t="str">
        <f>IF(Sleep_health_and_lifestyle_dataset3[[#This Row],[Physical Activity Level]]&gt;=60,"High",IF(Sleep_health_and_lifestyle_dataset3[[#This Row],[Physical Activity Level]]&gt;=40,"Medium","Low"))</f>
        <v>Medium</v>
      </c>
    </row>
    <row r="3" spans="1:22" x14ac:dyDescent="0.25">
      <c r="A3">
        <v>2</v>
      </c>
      <c r="B3" t="s">
        <v>13</v>
      </c>
      <c r="C3">
        <v>28</v>
      </c>
      <c r="D3" t="s">
        <v>18</v>
      </c>
      <c r="E3">
        <v>6.2</v>
      </c>
      <c r="F3">
        <v>6</v>
      </c>
      <c r="G3">
        <v>60</v>
      </c>
      <c r="H3">
        <v>8</v>
      </c>
      <c r="I3" t="s">
        <v>19</v>
      </c>
      <c r="J3">
        <v>125</v>
      </c>
      <c r="K3">
        <v>80</v>
      </c>
      <c r="L3">
        <v>10000</v>
      </c>
      <c r="M3" t="s">
        <v>17</v>
      </c>
      <c r="N3" t="str">
        <f>IF(Sleep_health_and_lifestyle_dataset3[[#This Row],[Sleep Duration]]&gt;=8,"Good",IF(Sleep_health_and_lifestyle_dataset3[[#This Row],[Sleep Duration]]&gt;=5,"Average","Poor"))</f>
        <v>Average</v>
      </c>
      <c r="O3" t="str">
        <f>IF(Sleep_health_and_lifestyle_dataset3[[#This Row],[Physical Activity Level]]&gt;=60,"High",IF(Sleep_health_and_lifestyle_dataset3[[#This Row],[Physical Activity Level]]&gt;=40,"Medium","Low"))</f>
        <v>High</v>
      </c>
    </row>
    <row r="4" spans="1:22" x14ac:dyDescent="0.25">
      <c r="A4">
        <v>3</v>
      </c>
      <c r="B4" t="s">
        <v>13</v>
      </c>
      <c r="C4">
        <v>28</v>
      </c>
      <c r="D4" t="s">
        <v>18</v>
      </c>
      <c r="E4">
        <v>6.2</v>
      </c>
      <c r="F4">
        <v>6</v>
      </c>
      <c r="G4">
        <v>60</v>
      </c>
      <c r="H4">
        <v>8</v>
      </c>
      <c r="I4" t="s">
        <v>19</v>
      </c>
      <c r="J4">
        <v>125</v>
      </c>
      <c r="K4">
        <v>80</v>
      </c>
      <c r="L4">
        <v>10000</v>
      </c>
      <c r="M4" t="s">
        <v>17</v>
      </c>
      <c r="N4" t="str">
        <f>IF(Sleep_health_and_lifestyle_dataset3[[#This Row],[Sleep Duration]]&gt;=8,"Good",IF(Sleep_health_and_lifestyle_dataset3[[#This Row],[Sleep Duration]]&gt;=5,"Average","Poor"))</f>
        <v>Average</v>
      </c>
      <c r="O4" t="str">
        <f>IF(Sleep_health_and_lifestyle_dataset3[[#This Row],[Physical Activity Level]]&gt;=60,"High",IF(Sleep_health_and_lifestyle_dataset3[[#This Row],[Physical Activity Level]]&gt;=40,"Medium","Low"))</f>
        <v>High</v>
      </c>
    </row>
    <row r="5" spans="1:22" x14ac:dyDescent="0.25">
      <c r="A5">
        <v>4</v>
      </c>
      <c r="B5" t="s">
        <v>13</v>
      </c>
      <c r="C5">
        <v>28</v>
      </c>
      <c r="D5" t="s">
        <v>21</v>
      </c>
      <c r="E5">
        <v>5.9</v>
      </c>
      <c r="F5">
        <v>4</v>
      </c>
      <c r="G5">
        <v>30</v>
      </c>
      <c r="H5">
        <v>8</v>
      </c>
      <c r="I5" t="s">
        <v>22</v>
      </c>
      <c r="J5">
        <v>140</v>
      </c>
      <c r="K5">
        <v>90</v>
      </c>
      <c r="L5">
        <v>3000</v>
      </c>
      <c r="M5" t="s">
        <v>24</v>
      </c>
      <c r="N5" t="str">
        <f>IF(Sleep_health_and_lifestyle_dataset3[[#This Row],[Sleep Duration]]&gt;=8,"Good",IF(Sleep_health_and_lifestyle_dataset3[[#This Row],[Sleep Duration]]&gt;=5,"Average","Poor"))</f>
        <v>Average</v>
      </c>
      <c r="O5" t="str">
        <f>IF(Sleep_health_and_lifestyle_dataset3[[#This Row],[Physical Activity Level]]&gt;=60,"High",IF(Sleep_health_and_lifestyle_dataset3[[#This Row],[Physical Activity Level]]&gt;=40,"Medium","Low"))</f>
        <v>Low</v>
      </c>
    </row>
    <row r="6" spans="1:22" x14ac:dyDescent="0.25">
      <c r="A6">
        <v>5</v>
      </c>
      <c r="B6" t="s">
        <v>13</v>
      </c>
      <c r="C6">
        <v>28</v>
      </c>
      <c r="D6" t="s">
        <v>21</v>
      </c>
      <c r="E6">
        <v>5.9</v>
      </c>
      <c r="F6">
        <v>4</v>
      </c>
      <c r="G6">
        <v>30</v>
      </c>
      <c r="H6">
        <v>8</v>
      </c>
      <c r="I6" t="s">
        <v>22</v>
      </c>
      <c r="J6">
        <v>140</v>
      </c>
      <c r="K6">
        <v>90</v>
      </c>
      <c r="L6">
        <v>3000</v>
      </c>
      <c r="M6" t="s">
        <v>24</v>
      </c>
      <c r="N6" t="str">
        <f>IF(Sleep_health_and_lifestyle_dataset3[[#This Row],[Sleep Duration]]&gt;=8,"Good",IF(Sleep_health_and_lifestyle_dataset3[[#This Row],[Sleep Duration]]&gt;=5,"Average","Poor"))</f>
        <v>Average</v>
      </c>
      <c r="O6" t="str">
        <f>IF(Sleep_health_and_lifestyle_dataset3[[#This Row],[Physical Activity Level]]&gt;=60,"High",IF(Sleep_health_and_lifestyle_dataset3[[#This Row],[Physical Activity Level]]&gt;=40,"Medium","Low"))</f>
        <v>Low</v>
      </c>
    </row>
    <row r="7" spans="1:22" x14ac:dyDescent="0.25">
      <c r="A7">
        <v>6</v>
      </c>
      <c r="B7" t="s">
        <v>13</v>
      </c>
      <c r="C7">
        <v>28</v>
      </c>
      <c r="D7" t="s">
        <v>14</v>
      </c>
      <c r="E7">
        <v>5.9</v>
      </c>
      <c r="F7">
        <v>4</v>
      </c>
      <c r="G7">
        <v>30</v>
      </c>
      <c r="H7">
        <v>8</v>
      </c>
      <c r="I7" t="s">
        <v>22</v>
      </c>
      <c r="J7">
        <v>140</v>
      </c>
      <c r="K7">
        <v>90</v>
      </c>
      <c r="L7">
        <v>3000</v>
      </c>
      <c r="M7" t="s">
        <v>25</v>
      </c>
      <c r="N7" t="str">
        <f>IF(Sleep_health_and_lifestyle_dataset3[[#This Row],[Sleep Duration]]&gt;=8,"Good",IF(Sleep_health_and_lifestyle_dataset3[[#This Row],[Sleep Duration]]&gt;=5,"Average","Poor"))</f>
        <v>Average</v>
      </c>
      <c r="O7" t="str">
        <f>IF(Sleep_health_and_lifestyle_dataset3[[#This Row],[Physical Activity Level]]&gt;=60,"High",IF(Sleep_health_and_lifestyle_dataset3[[#This Row],[Physical Activity Level]]&gt;=40,"Medium","Low"))</f>
        <v>Low</v>
      </c>
    </row>
    <row r="8" spans="1:22" x14ac:dyDescent="0.25">
      <c r="A8">
        <v>7</v>
      </c>
      <c r="B8" t="s">
        <v>13</v>
      </c>
      <c r="C8">
        <v>29</v>
      </c>
      <c r="D8" t="s">
        <v>26</v>
      </c>
      <c r="E8">
        <v>6.3</v>
      </c>
      <c r="F8">
        <v>6</v>
      </c>
      <c r="G8">
        <v>40</v>
      </c>
      <c r="H8">
        <v>7</v>
      </c>
      <c r="I8" t="s">
        <v>22</v>
      </c>
      <c r="J8">
        <v>140</v>
      </c>
      <c r="K8">
        <v>90</v>
      </c>
      <c r="L8">
        <v>3500</v>
      </c>
      <c r="M8" t="s">
        <v>25</v>
      </c>
      <c r="N8" t="str">
        <f>IF(Sleep_health_and_lifestyle_dataset3[[#This Row],[Sleep Duration]]&gt;=8,"Good",IF(Sleep_health_and_lifestyle_dataset3[[#This Row],[Sleep Duration]]&gt;=5,"Average","Poor"))</f>
        <v>Average</v>
      </c>
      <c r="O8" t="str">
        <f>IF(Sleep_health_and_lifestyle_dataset3[[#This Row],[Physical Activity Level]]&gt;=60,"High",IF(Sleep_health_and_lifestyle_dataset3[[#This Row],[Physical Activity Level]]&gt;=40,"Medium","Low"))</f>
        <v>Medium</v>
      </c>
    </row>
    <row r="9" spans="1:22" x14ac:dyDescent="0.25">
      <c r="A9">
        <v>8</v>
      </c>
      <c r="B9" t="s">
        <v>13</v>
      </c>
      <c r="C9">
        <v>29</v>
      </c>
      <c r="D9" t="s">
        <v>18</v>
      </c>
      <c r="E9">
        <v>7.8</v>
      </c>
      <c r="F9">
        <v>7</v>
      </c>
      <c r="G9">
        <v>75</v>
      </c>
      <c r="H9">
        <v>6</v>
      </c>
      <c r="I9" t="s">
        <v>19</v>
      </c>
      <c r="J9">
        <v>120</v>
      </c>
      <c r="K9">
        <v>80</v>
      </c>
      <c r="L9">
        <v>8000</v>
      </c>
      <c r="M9" t="s">
        <v>17</v>
      </c>
      <c r="N9" t="str">
        <f>IF(Sleep_health_and_lifestyle_dataset3[[#This Row],[Sleep Duration]]&gt;=8,"Good",IF(Sleep_health_and_lifestyle_dataset3[[#This Row],[Sleep Duration]]&gt;=5,"Average","Poor"))</f>
        <v>Average</v>
      </c>
      <c r="O9" t="str">
        <f>IF(Sleep_health_and_lifestyle_dataset3[[#This Row],[Physical Activity Level]]&gt;=60,"High",IF(Sleep_health_and_lifestyle_dataset3[[#This Row],[Physical Activity Level]]&gt;=40,"Medium","Low"))</f>
        <v>High</v>
      </c>
      <c r="V9">
        <f>MAX(G3:G375)</f>
        <v>90</v>
      </c>
    </row>
    <row r="10" spans="1:22" x14ac:dyDescent="0.25">
      <c r="A10">
        <v>9</v>
      </c>
      <c r="B10" t="s">
        <v>13</v>
      </c>
      <c r="C10">
        <v>29</v>
      </c>
      <c r="D10" t="s">
        <v>18</v>
      </c>
      <c r="E10">
        <v>7.8</v>
      </c>
      <c r="F10">
        <v>7</v>
      </c>
      <c r="G10">
        <v>75</v>
      </c>
      <c r="H10">
        <v>6</v>
      </c>
      <c r="I10" t="s">
        <v>19</v>
      </c>
      <c r="J10">
        <v>120</v>
      </c>
      <c r="K10">
        <v>80</v>
      </c>
      <c r="L10">
        <v>8000</v>
      </c>
      <c r="M10" t="s">
        <v>17</v>
      </c>
      <c r="N10" t="str">
        <f>IF(Sleep_health_and_lifestyle_dataset3[[#This Row],[Sleep Duration]]&gt;=8,"Good",IF(Sleep_health_and_lifestyle_dataset3[[#This Row],[Sleep Duration]]&gt;=5,"Average","Poor"))</f>
        <v>Average</v>
      </c>
      <c r="O10" t="str">
        <f>IF(Sleep_health_and_lifestyle_dataset3[[#This Row],[Physical Activity Level]]&gt;=60,"High",IF(Sleep_health_and_lifestyle_dataset3[[#This Row],[Physical Activity Level]]&gt;=40,"Medium","Low"))</f>
        <v>High</v>
      </c>
      <c r="V10">
        <f>MIN(G2:G375)</f>
        <v>30</v>
      </c>
    </row>
    <row r="11" spans="1:22" x14ac:dyDescent="0.25">
      <c r="A11">
        <v>10</v>
      </c>
      <c r="B11" t="s">
        <v>13</v>
      </c>
      <c r="C11">
        <v>29</v>
      </c>
      <c r="D11" t="s">
        <v>18</v>
      </c>
      <c r="E11">
        <v>7.8</v>
      </c>
      <c r="F11">
        <v>7</v>
      </c>
      <c r="G11">
        <v>75</v>
      </c>
      <c r="H11">
        <v>6</v>
      </c>
      <c r="I11" t="s">
        <v>19</v>
      </c>
      <c r="J11">
        <v>120</v>
      </c>
      <c r="K11">
        <v>80</v>
      </c>
      <c r="L11">
        <v>8000</v>
      </c>
      <c r="M11" t="s">
        <v>17</v>
      </c>
      <c r="N11" t="str">
        <f>IF(Sleep_health_and_lifestyle_dataset3[[#This Row],[Sleep Duration]]&gt;=8,"Good",IF(Sleep_health_and_lifestyle_dataset3[[#This Row],[Sleep Duration]]&gt;=5,"Average","Poor"))</f>
        <v>Average</v>
      </c>
      <c r="O11" t="str">
        <f>IF(Sleep_health_and_lifestyle_dataset3[[#This Row],[Physical Activity Level]]&gt;=60,"High",IF(Sleep_health_and_lifestyle_dataset3[[#This Row],[Physical Activity Level]]&gt;=40,"Medium","Low"))</f>
        <v>High</v>
      </c>
      <c r="V11">
        <f>AVERAGE(G2:G375)</f>
        <v>59.171122994652407</v>
      </c>
    </row>
    <row r="12" spans="1:22" x14ac:dyDescent="0.25">
      <c r="A12">
        <v>11</v>
      </c>
      <c r="B12" t="s">
        <v>13</v>
      </c>
      <c r="C12">
        <v>29</v>
      </c>
      <c r="D12" t="s">
        <v>18</v>
      </c>
      <c r="E12">
        <v>6.1</v>
      </c>
      <c r="F12">
        <v>6</v>
      </c>
      <c r="G12">
        <v>30</v>
      </c>
      <c r="H12">
        <v>8</v>
      </c>
      <c r="I12" t="s">
        <v>19</v>
      </c>
      <c r="J12">
        <v>120</v>
      </c>
      <c r="K12">
        <v>80</v>
      </c>
      <c r="L12">
        <v>8000</v>
      </c>
      <c r="M12" t="s">
        <v>17</v>
      </c>
      <c r="N12" t="str">
        <f>IF(Sleep_health_and_lifestyle_dataset3[[#This Row],[Sleep Duration]]&gt;=8,"Good",IF(Sleep_health_and_lifestyle_dataset3[[#This Row],[Sleep Duration]]&gt;=5,"Average","Poor"))</f>
        <v>Average</v>
      </c>
      <c r="O12" t="str">
        <f>IF(Sleep_health_and_lifestyle_dataset3[[#This Row],[Physical Activity Level]]&gt;=60,"High",IF(Sleep_health_and_lifestyle_dataset3[[#This Row],[Physical Activity Level]]&gt;=40,"Medium","Low"))</f>
        <v>Low</v>
      </c>
    </row>
    <row r="13" spans="1:22" x14ac:dyDescent="0.25">
      <c r="A13">
        <v>12</v>
      </c>
      <c r="B13" t="s">
        <v>13</v>
      </c>
      <c r="C13">
        <v>29</v>
      </c>
      <c r="D13" t="s">
        <v>18</v>
      </c>
      <c r="E13">
        <v>7.8</v>
      </c>
      <c r="F13">
        <v>7</v>
      </c>
      <c r="G13">
        <v>75</v>
      </c>
      <c r="H13">
        <v>6</v>
      </c>
      <c r="I13" t="s">
        <v>19</v>
      </c>
      <c r="J13">
        <v>120</v>
      </c>
      <c r="K13">
        <v>80</v>
      </c>
      <c r="L13">
        <v>8000</v>
      </c>
      <c r="M13" t="s">
        <v>17</v>
      </c>
      <c r="N13" t="str">
        <f>IF(Sleep_health_and_lifestyle_dataset3[[#This Row],[Sleep Duration]]&gt;=8,"Good",IF(Sleep_health_and_lifestyle_dataset3[[#This Row],[Sleep Duration]]&gt;=5,"Average","Poor"))</f>
        <v>Average</v>
      </c>
      <c r="O13" t="str">
        <f>IF(Sleep_health_and_lifestyle_dataset3[[#This Row],[Physical Activity Level]]&gt;=60,"High",IF(Sleep_health_and_lifestyle_dataset3[[#This Row],[Physical Activity Level]]&gt;=40,"Medium","Low"))</f>
        <v>High</v>
      </c>
    </row>
    <row r="14" spans="1:22" x14ac:dyDescent="0.25">
      <c r="A14">
        <v>13</v>
      </c>
      <c r="B14" t="s">
        <v>13</v>
      </c>
      <c r="C14">
        <v>29</v>
      </c>
      <c r="D14" t="s">
        <v>18</v>
      </c>
      <c r="E14">
        <v>6.1</v>
      </c>
      <c r="F14">
        <v>6</v>
      </c>
      <c r="G14">
        <v>30</v>
      </c>
      <c r="H14">
        <v>8</v>
      </c>
      <c r="I14" t="s">
        <v>19</v>
      </c>
      <c r="J14">
        <v>120</v>
      </c>
      <c r="K14">
        <v>80</v>
      </c>
      <c r="L14">
        <v>8000</v>
      </c>
      <c r="M14" t="s">
        <v>17</v>
      </c>
      <c r="N14" t="str">
        <f>IF(Sleep_health_and_lifestyle_dataset3[[#This Row],[Sleep Duration]]&gt;=8,"Good",IF(Sleep_health_and_lifestyle_dataset3[[#This Row],[Sleep Duration]]&gt;=5,"Average","Poor"))</f>
        <v>Average</v>
      </c>
      <c r="O14" t="str">
        <f>IF(Sleep_health_and_lifestyle_dataset3[[#This Row],[Physical Activity Level]]&gt;=60,"High",IF(Sleep_health_and_lifestyle_dataset3[[#This Row],[Physical Activity Level]]&gt;=40,"Medium","Low"))</f>
        <v>Low</v>
      </c>
    </row>
    <row r="15" spans="1:22" x14ac:dyDescent="0.25">
      <c r="A15">
        <v>14</v>
      </c>
      <c r="B15" t="s">
        <v>13</v>
      </c>
      <c r="C15">
        <v>29</v>
      </c>
      <c r="D15" t="s">
        <v>18</v>
      </c>
      <c r="E15">
        <v>6</v>
      </c>
      <c r="F15">
        <v>6</v>
      </c>
      <c r="G15">
        <v>30</v>
      </c>
      <c r="H15">
        <v>8</v>
      </c>
      <c r="I15" t="s">
        <v>19</v>
      </c>
      <c r="J15">
        <v>120</v>
      </c>
      <c r="K15">
        <v>80</v>
      </c>
      <c r="L15">
        <v>8000</v>
      </c>
      <c r="M15" t="s">
        <v>17</v>
      </c>
      <c r="N15" t="str">
        <f>IF(Sleep_health_and_lifestyle_dataset3[[#This Row],[Sleep Duration]]&gt;=8,"Good",IF(Sleep_health_and_lifestyle_dataset3[[#This Row],[Sleep Duration]]&gt;=5,"Average","Poor"))</f>
        <v>Average</v>
      </c>
      <c r="O15" t="str">
        <f>IF(Sleep_health_and_lifestyle_dataset3[[#This Row],[Physical Activity Level]]&gt;=60,"High",IF(Sleep_health_and_lifestyle_dataset3[[#This Row],[Physical Activity Level]]&gt;=40,"Medium","Low"))</f>
        <v>Low</v>
      </c>
    </row>
    <row r="16" spans="1:22" x14ac:dyDescent="0.25">
      <c r="A16">
        <v>15</v>
      </c>
      <c r="B16" t="s">
        <v>13</v>
      </c>
      <c r="C16">
        <v>29</v>
      </c>
      <c r="D16" t="s">
        <v>18</v>
      </c>
      <c r="E16">
        <v>6</v>
      </c>
      <c r="F16">
        <v>6</v>
      </c>
      <c r="G16">
        <v>30</v>
      </c>
      <c r="H16">
        <v>8</v>
      </c>
      <c r="I16" t="s">
        <v>19</v>
      </c>
      <c r="J16">
        <v>120</v>
      </c>
      <c r="K16">
        <v>80</v>
      </c>
      <c r="L16">
        <v>8000</v>
      </c>
      <c r="M16" t="s">
        <v>17</v>
      </c>
      <c r="N16" t="str">
        <f>IF(Sleep_health_and_lifestyle_dataset3[[#This Row],[Sleep Duration]]&gt;=8,"Good",IF(Sleep_health_and_lifestyle_dataset3[[#This Row],[Sleep Duration]]&gt;=5,"Average","Poor"))</f>
        <v>Average</v>
      </c>
      <c r="O16" t="str">
        <f>IF(Sleep_health_and_lifestyle_dataset3[[#This Row],[Physical Activity Level]]&gt;=60,"High",IF(Sleep_health_and_lifestyle_dataset3[[#This Row],[Physical Activity Level]]&gt;=40,"Medium","Low"))</f>
        <v>Low</v>
      </c>
    </row>
    <row r="17" spans="1:15" x14ac:dyDescent="0.25">
      <c r="A17">
        <v>16</v>
      </c>
      <c r="B17" t="s">
        <v>13</v>
      </c>
      <c r="C17">
        <v>29</v>
      </c>
      <c r="D17" t="s">
        <v>18</v>
      </c>
      <c r="E17">
        <v>6</v>
      </c>
      <c r="F17">
        <v>6</v>
      </c>
      <c r="G17">
        <v>30</v>
      </c>
      <c r="H17">
        <v>8</v>
      </c>
      <c r="I17" t="s">
        <v>19</v>
      </c>
      <c r="J17">
        <v>120</v>
      </c>
      <c r="K17">
        <v>80</v>
      </c>
      <c r="L17">
        <v>8000</v>
      </c>
      <c r="M17" t="s">
        <v>17</v>
      </c>
      <c r="N17" t="str">
        <f>IF(Sleep_health_and_lifestyle_dataset3[[#This Row],[Sleep Duration]]&gt;=8,"Good",IF(Sleep_health_and_lifestyle_dataset3[[#This Row],[Sleep Duration]]&gt;=5,"Average","Poor"))</f>
        <v>Average</v>
      </c>
      <c r="O17" t="str">
        <f>IF(Sleep_health_and_lifestyle_dataset3[[#This Row],[Physical Activity Level]]&gt;=60,"High",IF(Sleep_health_and_lifestyle_dataset3[[#This Row],[Physical Activity Level]]&gt;=40,"Medium","Low"))</f>
        <v>Low</v>
      </c>
    </row>
    <row r="18" spans="1:15" x14ac:dyDescent="0.25">
      <c r="A18">
        <v>17</v>
      </c>
      <c r="B18" t="s">
        <v>28</v>
      </c>
      <c r="C18">
        <v>29</v>
      </c>
      <c r="D18" t="s">
        <v>29</v>
      </c>
      <c r="E18">
        <v>6.5</v>
      </c>
      <c r="F18">
        <v>5</v>
      </c>
      <c r="G18">
        <v>40</v>
      </c>
      <c r="H18">
        <v>7</v>
      </c>
      <c r="I18" t="s">
        <v>30</v>
      </c>
      <c r="J18">
        <v>132</v>
      </c>
      <c r="K18">
        <v>87</v>
      </c>
      <c r="L18">
        <v>4000</v>
      </c>
      <c r="M18" t="s">
        <v>24</v>
      </c>
      <c r="N18" t="str">
        <f>IF(Sleep_health_and_lifestyle_dataset3[[#This Row],[Sleep Duration]]&gt;=8,"Good",IF(Sleep_health_and_lifestyle_dataset3[[#This Row],[Sleep Duration]]&gt;=5,"Average","Poor"))</f>
        <v>Average</v>
      </c>
      <c r="O18" t="str">
        <f>IF(Sleep_health_and_lifestyle_dataset3[[#This Row],[Physical Activity Level]]&gt;=60,"High",IF(Sleep_health_and_lifestyle_dataset3[[#This Row],[Physical Activity Level]]&gt;=40,"Medium","Low"))</f>
        <v>Medium</v>
      </c>
    </row>
    <row r="19" spans="1:15" x14ac:dyDescent="0.25">
      <c r="A19">
        <v>18</v>
      </c>
      <c r="B19" t="s">
        <v>13</v>
      </c>
      <c r="C19">
        <v>29</v>
      </c>
      <c r="D19" t="s">
        <v>18</v>
      </c>
      <c r="E19">
        <v>6</v>
      </c>
      <c r="F19">
        <v>6</v>
      </c>
      <c r="G19">
        <v>30</v>
      </c>
      <c r="H19">
        <v>8</v>
      </c>
      <c r="I19" t="s">
        <v>19</v>
      </c>
      <c r="J19">
        <v>120</v>
      </c>
      <c r="K19">
        <v>80</v>
      </c>
      <c r="L19">
        <v>8000</v>
      </c>
      <c r="M19" t="s">
        <v>24</v>
      </c>
      <c r="N19" t="str">
        <f>IF(Sleep_health_and_lifestyle_dataset3[[#This Row],[Sleep Duration]]&gt;=8,"Good",IF(Sleep_health_and_lifestyle_dataset3[[#This Row],[Sleep Duration]]&gt;=5,"Average","Poor"))</f>
        <v>Average</v>
      </c>
      <c r="O19" t="str">
        <f>IF(Sleep_health_and_lifestyle_dataset3[[#This Row],[Physical Activity Level]]&gt;=60,"High",IF(Sleep_health_and_lifestyle_dataset3[[#This Row],[Physical Activity Level]]&gt;=40,"Medium","Low"))</f>
        <v>Low</v>
      </c>
    </row>
    <row r="20" spans="1:15" x14ac:dyDescent="0.25">
      <c r="A20">
        <v>19</v>
      </c>
      <c r="B20" t="s">
        <v>28</v>
      </c>
      <c r="C20">
        <v>29</v>
      </c>
      <c r="D20" t="s">
        <v>29</v>
      </c>
      <c r="E20">
        <v>6.5</v>
      </c>
      <c r="F20">
        <v>5</v>
      </c>
      <c r="G20">
        <v>40</v>
      </c>
      <c r="H20">
        <v>7</v>
      </c>
      <c r="I20" t="s">
        <v>30</v>
      </c>
      <c r="J20">
        <v>132</v>
      </c>
      <c r="K20">
        <v>87</v>
      </c>
      <c r="L20">
        <v>4000</v>
      </c>
      <c r="M20" t="s">
        <v>25</v>
      </c>
      <c r="N20" t="str">
        <f>IF(Sleep_health_and_lifestyle_dataset3[[#This Row],[Sleep Duration]]&gt;=8,"Good",IF(Sleep_health_and_lifestyle_dataset3[[#This Row],[Sleep Duration]]&gt;=5,"Average","Poor"))</f>
        <v>Average</v>
      </c>
      <c r="O20" t="str">
        <f>IF(Sleep_health_and_lifestyle_dataset3[[#This Row],[Physical Activity Level]]&gt;=60,"High",IF(Sleep_health_and_lifestyle_dataset3[[#This Row],[Physical Activity Level]]&gt;=40,"Medium","Low"))</f>
        <v>Medium</v>
      </c>
    </row>
    <row r="21" spans="1:15" x14ac:dyDescent="0.25">
      <c r="A21">
        <v>20</v>
      </c>
      <c r="B21" t="s">
        <v>13</v>
      </c>
      <c r="C21">
        <v>30</v>
      </c>
      <c r="D21" t="s">
        <v>18</v>
      </c>
      <c r="E21">
        <v>7.6</v>
      </c>
      <c r="F21">
        <v>7</v>
      </c>
      <c r="G21">
        <v>75</v>
      </c>
      <c r="H21">
        <v>6</v>
      </c>
      <c r="I21" t="s">
        <v>19</v>
      </c>
      <c r="J21">
        <v>120</v>
      </c>
      <c r="K21">
        <v>80</v>
      </c>
      <c r="L21">
        <v>8000</v>
      </c>
      <c r="M21" t="s">
        <v>17</v>
      </c>
      <c r="N21" t="str">
        <f>IF(Sleep_health_and_lifestyle_dataset3[[#This Row],[Sleep Duration]]&gt;=8,"Good",IF(Sleep_health_and_lifestyle_dataset3[[#This Row],[Sleep Duration]]&gt;=5,"Average","Poor"))</f>
        <v>Average</v>
      </c>
      <c r="O21" t="str">
        <f>IF(Sleep_health_and_lifestyle_dataset3[[#This Row],[Physical Activity Level]]&gt;=60,"High",IF(Sleep_health_and_lifestyle_dataset3[[#This Row],[Physical Activity Level]]&gt;=40,"Medium","Low"))</f>
        <v>High</v>
      </c>
    </row>
    <row r="22" spans="1:15" x14ac:dyDescent="0.25">
      <c r="A22">
        <v>21</v>
      </c>
      <c r="B22" t="s">
        <v>13</v>
      </c>
      <c r="C22">
        <v>30</v>
      </c>
      <c r="D22" t="s">
        <v>18</v>
      </c>
      <c r="E22">
        <v>7.7</v>
      </c>
      <c r="F22">
        <v>7</v>
      </c>
      <c r="G22">
        <v>75</v>
      </c>
      <c r="H22">
        <v>6</v>
      </c>
      <c r="I22" t="s">
        <v>19</v>
      </c>
      <c r="J22">
        <v>120</v>
      </c>
      <c r="K22">
        <v>80</v>
      </c>
      <c r="L22">
        <v>8000</v>
      </c>
      <c r="M22" t="s">
        <v>17</v>
      </c>
      <c r="N22" t="str">
        <f>IF(Sleep_health_and_lifestyle_dataset3[[#This Row],[Sleep Duration]]&gt;=8,"Good",IF(Sleep_health_and_lifestyle_dataset3[[#This Row],[Sleep Duration]]&gt;=5,"Average","Poor"))</f>
        <v>Average</v>
      </c>
      <c r="O22" t="str">
        <f>IF(Sleep_health_and_lifestyle_dataset3[[#This Row],[Physical Activity Level]]&gt;=60,"High",IF(Sleep_health_and_lifestyle_dataset3[[#This Row],[Physical Activity Level]]&gt;=40,"Medium","Low"))</f>
        <v>High</v>
      </c>
    </row>
    <row r="23" spans="1:15" x14ac:dyDescent="0.25">
      <c r="A23">
        <v>22</v>
      </c>
      <c r="B23" t="s">
        <v>13</v>
      </c>
      <c r="C23">
        <v>30</v>
      </c>
      <c r="D23" t="s">
        <v>18</v>
      </c>
      <c r="E23">
        <v>7.7</v>
      </c>
      <c r="F23">
        <v>7</v>
      </c>
      <c r="G23">
        <v>75</v>
      </c>
      <c r="H23">
        <v>6</v>
      </c>
      <c r="I23" t="s">
        <v>19</v>
      </c>
      <c r="J23">
        <v>120</v>
      </c>
      <c r="K23">
        <v>80</v>
      </c>
      <c r="L23">
        <v>8000</v>
      </c>
      <c r="M23" t="s">
        <v>17</v>
      </c>
      <c r="N23" t="str">
        <f>IF(Sleep_health_and_lifestyle_dataset3[[#This Row],[Sleep Duration]]&gt;=8,"Good",IF(Sleep_health_and_lifestyle_dataset3[[#This Row],[Sleep Duration]]&gt;=5,"Average","Poor"))</f>
        <v>Average</v>
      </c>
      <c r="O23" t="str">
        <f>IF(Sleep_health_and_lifestyle_dataset3[[#This Row],[Physical Activity Level]]&gt;=60,"High",IF(Sleep_health_and_lifestyle_dataset3[[#This Row],[Physical Activity Level]]&gt;=40,"Medium","Low"))</f>
        <v>High</v>
      </c>
    </row>
    <row r="24" spans="1:15" x14ac:dyDescent="0.25">
      <c r="A24">
        <v>23</v>
      </c>
      <c r="B24" t="s">
        <v>13</v>
      </c>
      <c r="C24">
        <v>30</v>
      </c>
      <c r="D24" t="s">
        <v>18</v>
      </c>
      <c r="E24">
        <v>7.7</v>
      </c>
      <c r="F24">
        <v>7</v>
      </c>
      <c r="G24">
        <v>75</v>
      </c>
      <c r="H24">
        <v>6</v>
      </c>
      <c r="I24" t="s">
        <v>19</v>
      </c>
      <c r="J24">
        <v>120</v>
      </c>
      <c r="K24">
        <v>80</v>
      </c>
      <c r="L24">
        <v>8000</v>
      </c>
      <c r="M24" t="s">
        <v>17</v>
      </c>
      <c r="N24" t="str">
        <f>IF(Sleep_health_and_lifestyle_dataset3[[#This Row],[Sleep Duration]]&gt;=8,"Good",IF(Sleep_health_and_lifestyle_dataset3[[#This Row],[Sleep Duration]]&gt;=5,"Average","Poor"))</f>
        <v>Average</v>
      </c>
      <c r="O24" t="str">
        <f>IF(Sleep_health_and_lifestyle_dataset3[[#This Row],[Physical Activity Level]]&gt;=60,"High",IF(Sleep_health_and_lifestyle_dataset3[[#This Row],[Physical Activity Level]]&gt;=40,"Medium","Low"))</f>
        <v>High</v>
      </c>
    </row>
    <row r="25" spans="1:15" x14ac:dyDescent="0.25">
      <c r="A25">
        <v>24</v>
      </c>
      <c r="B25" t="s">
        <v>13</v>
      </c>
      <c r="C25">
        <v>30</v>
      </c>
      <c r="D25" t="s">
        <v>18</v>
      </c>
      <c r="E25">
        <v>7.7</v>
      </c>
      <c r="F25">
        <v>7</v>
      </c>
      <c r="G25">
        <v>75</v>
      </c>
      <c r="H25">
        <v>6</v>
      </c>
      <c r="I25" t="s">
        <v>19</v>
      </c>
      <c r="J25">
        <v>120</v>
      </c>
      <c r="K25">
        <v>80</v>
      </c>
      <c r="L25">
        <v>8000</v>
      </c>
      <c r="M25" t="s">
        <v>17</v>
      </c>
      <c r="N25" t="str">
        <f>IF(Sleep_health_and_lifestyle_dataset3[[#This Row],[Sleep Duration]]&gt;=8,"Good",IF(Sleep_health_and_lifestyle_dataset3[[#This Row],[Sleep Duration]]&gt;=5,"Average","Poor"))</f>
        <v>Average</v>
      </c>
      <c r="O25" t="str">
        <f>IF(Sleep_health_and_lifestyle_dataset3[[#This Row],[Physical Activity Level]]&gt;=60,"High",IF(Sleep_health_and_lifestyle_dataset3[[#This Row],[Physical Activity Level]]&gt;=40,"Medium","Low"))</f>
        <v>High</v>
      </c>
    </row>
    <row r="26" spans="1:15" x14ac:dyDescent="0.25">
      <c r="A26">
        <v>25</v>
      </c>
      <c r="B26" t="s">
        <v>13</v>
      </c>
      <c r="C26">
        <v>30</v>
      </c>
      <c r="D26" t="s">
        <v>18</v>
      </c>
      <c r="E26">
        <v>7.8</v>
      </c>
      <c r="F26">
        <v>7</v>
      </c>
      <c r="G26">
        <v>75</v>
      </c>
      <c r="H26">
        <v>6</v>
      </c>
      <c r="I26" t="s">
        <v>19</v>
      </c>
      <c r="J26">
        <v>120</v>
      </c>
      <c r="K26">
        <v>80</v>
      </c>
      <c r="L26">
        <v>8000</v>
      </c>
      <c r="M26" t="s">
        <v>17</v>
      </c>
      <c r="N26" t="str">
        <f>IF(Sleep_health_and_lifestyle_dataset3[[#This Row],[Sleep Duration]]&gt;=8,"Good",IF(Sleep_health_and_lifestyle_dataset3[[#This Row],[Sleep Duration]]&gt;=5,"Average","Poor"))</f>
        <v>Average</v>
      </c>
      <c r="O26" t="str">
        <f>IF(Sleep_health_and_lifestyle_dataset3[[#This Row],[Physical Activity Level]]&gt;=60,"High",IF(Sleep_health_and_lifestyle_dataset3[[#This Row],[Physical Activity Level]]&gt;=40,"Medium","Low"))</f>
        <v>High</v>
      </c>
    </row>
    <row r="27" spans="1:15" x14ac:dyDescent="0.25">
      <c r="A27">
        <v>26</v>
      </c>
      <c r="B27" t="s">
        <v>13</v>
      </c>
      <c r="C27">
        <v>30</v>
      </c>
      <c r="D27" t="s">
        <v>18</v>
      </c>
      <c r="E27">
        <v>7.9</v>
      </c>
      <c r="F27">
        <v>7</v>
      </c>
      <c r="G27">
        <v>75</v>
      </c>
      <c r="H27">
        <v>6</v>
      </c>
      <c r="I27" t="s">
        <v>19</v>
      </c>
      <c r="J27">
        <v>120</v>
      </c>
      <c r="K27">
        <v>80</v>
      </c>
      <c r="L27">
        <v>8000</v>
      </c>
      <c r="M27" t="s">
        <v>17</v>
      </c>
      <c r="N27" t="str">
        <f>IF(Sleep_health_and_lifestyle_dataset3[[#This Row],[Sleep Duration]]&gt;=8,"Good",IF(Sleep_health_and_lifestyle_dataset3[[#This Row],[Sleep Duration]]&gt;=5,"Average","Poor"))</f>
        <v>Average</v>
      </c>
      <c r="O27" t="str">
        <f>IF(Sleep_health_and_lifestyle_dataset3[[#This Row],[Physical Activity Level]]&gt;=60,"High",IF(Sleep_health_and_lifestyle_dataset3[[#This Row],[Physical Activity Level]]&gt;=40,"Medium","Low"))</f>
        <v>High</v>
      </c>
    </row>
    <row r="28" spans="1:15" x14ac:dyDescent="0.25">
      <c r="A28">
        <v>27</v>
      </c>
      <c r="B28" t="s">
        <v>13</v>
      </c>
      <c r="C28">
        <v>30</v>
      </c>
      <c r="D28" t="s">
        <v>18</v>
      </c>
      <c r="E28">
        <v>7.8</v>
      </c>
      <c r="F28">
        <v>7</v>
      </c>
      <c r="G28">
        <v>75</v>
      </c>
      <c r="H28">
        <v>6</v>
      </c>
      <c r="I28" t="s">
        <v>19</v>
      </c>
      <c r="J28">
        <v>120</v>
      </c>
      <c r="K28">
        <v>80</v>
      </c>
      <c r="L28">
        <v>8000</v>
      </c>
      <c r="M28" t="s">
        <v>17</v>
      </c>
      <c r="N28" t="str">
        <f>IF(Sleep_health_and_lifestyle_dataset3[[#This Row],[Sleep Duration]]&gt;=8,"Good",IF(Sleep_health_and_lifestyle_dataset3[[#This Row],[Sleep Duration]]&gt;=5,"Average","Poor"))</f>
        <v>Average</v>
      </c>
      <c r="O28" t="str">
        <f>IF(Sleep_health_and_lifestyle_dataset3[[#This Row],[Physical Activity Level]]&gt;=60,"High",IF(Sleep_health_and_lifestyle_dataset3[[#This Row],[Physical Activity Level]]&gt;=40,"Medium","Low"))</f>
        <v>High</v>
      </c>
    </row>
    <row r="29" spans="1:15" x14ac:dyDescent="0.25">
      <c r="A29">
        <v>28</v>
      </c>
      <c r="B29" t="s">
        <v>13</v>
      </c>
      <c r="C29">
        <v>30</v>
      </c>
      <c r="D29" t="s">
        <v>18</v>
      </c>
      <c r="E29">
        <v>7.9</v>
      </c>
      <c r="F29">
        <v>7</v>
      </c>
      <c r="G29">
        <v>75</v>
      </c>
      <c r="H29">
        <v>6</v>
      </c>
      <c r="I29" t="s">
        <v>19</v>
      </c>
      <c r="J29">
        <v>120</v>
      </c>
      <c r="K29">
        <v>80</v>
      </c>
      <c r="L29">
        <v>8000</v>
      </c>
      <c r="M29" t="s">
        <v>17</v>
      </c>
      <c r="N29" t="str">
        <f>IF(Sleep_health_and_lifestyle_dataset3[[#This Row],[Sleep Duration]]&gt;=8,"Good",IF(Sleep_health_and_lifestyle_dataset3[[#This Row],[Sleep Duration]]&gt;=5,"Average","Poor"))</f>
        <v>Average</v>
      </c>
      <c r="O29" t="str">
        <f>IF(Sleep_health_and_lifestyle_dataset3[[#This Row],[Physical Activity Level]]&gt;=60,"High",IF(Sleep_health_and_lifestyle_dataset3[[#This Row],[Physical Activity Level]]&gt;=40,"Medium","Low"))</f>
        <v>High</v>
      </c>
    </row>
    <row r="30" spans="1:15" x14ac:dyDescent="0.25">
      <c r="A30">
        <v>29</v>
      </c>
      <c r="B30" t="s">
        <v>13</v>
      </c>
      <c r="C30">
        <v>30</v>
      </c>
      <c r="D30" t="s">
        <v>18</v>
      </c>
      <c r="E30">
        <v>7.9</v>
      </c>
      <c r="F30">
        <v>7</v>
      </c>
      <c r="G30">
        <v>75</v>
      </c>
      <c r="H30">
        <v>6</v>
      </c>
      <c r="I30" t="s">
        <v>19</v>
      </c>
      <c r="J30">
        <v>120</v>
      </c>
      <c r="K30">
        <v>80</v>
      </c>
      <c r="L30">
        <v>8000</v>
      </c>
      <c r="M30" t="s">
        <v>17</v>
      </c>
      <c r="N30" t="str">
        <f>IF(Sleep_health_and_lifestyle_dataset3[[#This Row],[Sleep Duration]]&gt;=8,"Good",IF(Sleep_health_and_lifestyle_dataset3[[#This Row],[Sleep Duration]]&gt;=5,"Average","Poor"))</f>
        <v>Average</v>
      </c>
      <c r="O30" t="str">
        <f>IF(Sleep_health_and_lifestyle_dataset3[[#This Row],[Physical Activity Level]]&gt;=60,"High",IF(Sleep_health_and_lifestyle_dataset3[[#This Row],[Physical Activity Level]]&gt;=40,"Medium","Low"))</f>
        <v>High</v>
      </c>
    </row>
    <row r="31" spans="1:15" x14ac:dyDescent="0.25">
      <c r="A31">
        <v>30</v>
      </c>
      <c r="B31" t="s">
        <v>13</v>
      </c>
      <c r="C31">
        <v>30</v>
      </c>
      <c r="D31" t="s">
        <v>18</v>
      </c>
      <c r="E31">
        <v>7.9</v>
      </c>
      <c r="F31">
        <v>7</v>
      </c>
      <c r="G31">
        <v>75</v>
      </c>
      <c r="H31">
        <v>6</v>
      </c>
      <c r="I31" t="s">
        <v>19</v>
      </c>
      <c r="J31">
        <v>120</v>
      </c>
      <c r="K31">
        <v>80</v>
      </c>
      <c r="L31">
        <v>8000</v>
      </c>
      <c r="M31" t="s">
        <v>17</v>
      </c>
      <c r="N31" t="str">
        <f>IF(Sleep_health_and_lifestyle_dataset3[[#This Row],[Sleep Duration]]&gt;=8,"Good",IF(Sleep_health_and_lifestyle_dataset3[[#This Row],[Sleep Duration]]&gt;=5,"Average","Poor"))</f>
        <v>Average</v>
      </c>
      <c r="O31" t="str">
        <f>IF(Sleep_health_and_lifestyle_dataset3[[#This Row],[Physical Activity Level]]&gt;=60,"High",IF(Sleep_health_and_lifestyle_dataset3[[#This Row],[Physical Activity Level]]&gt;=40,"Medium","Low"))</f>
        <v>High</v>
      </c>
    </row>
    <row r="32" spans="1:15" x14ac:dyDescent="0.25">
      <c r="A32">
        <v>31</v>
      </c>
      <c r="B32" t="s">
        <v>28</v>
      </c>
      <c r="C32">
        <v>30</v>
      </c>
      <c r="D32" t="s">
        <v>29</v>
      </c>
      <c r="E32">
        <v>6.4</v>
      </c>
      <c r="F32">
        <v>5</v>
      </c>
      <c r="G32">
        <v>35</v>
      </c>
      <c r="H32">
        <v>7</v>
      </c>
      <c r="I32" t="s">
        <v>30</v>
      </c>
      <c r="J32">
        <v>130</v>
      </c>
      <c r="K32">
        <v>86</v>
      </c>
      <c r="L32">
        <v>4100</v>
      </c>
      <c r="M32" t="s">
        <v>24</v>
      </c>
      <c r="N32" t="str">
        <f>IF(Sleep_health_and_lifestyle_dataset3[[#This Row],[Sleep Duration]]&gt;=8,"Good",IF(Sleep_health_and_lifestyle_dataset3[[#This Row],[Sleep Duration]]&gt;=5,"Average","Poor"))</f>
        <v>Average</v>
      </c>
      <c r="O32" t="str">
        <f>IF(Sleep_health_and_lifestyle_dataset3[[#This Row],[Physical Activity Level]]&gt;=60,"High",IF(Sleep_health_and_lifestyle_dataset3[[#This Row],[Physical Activity Level]]&gt;=40,"Medium","Low"))</f>
        <v>Low</v>
      </c>
    </row>
    <row r="33" spans="1:15" x14ac:dyDescent="0.25">
      <c r="A33">
        <v>32</v>
      </c>
      <c r="B33" t="s">
        <v>28</v>
      </c>
      <c r="C33">
        <v>30</v>
      </c>
      <c r="D33" t="s">
        <v>29</v>
      </c>
      <c r="E33">
        <v>6.4</v>
      </c>
      <c r="F33">
        <v>5</v>
      </c>
      <c r="G33">
        <v>35</v>
      </c>
      <c r="H33">
        <v>7</v>
      </c>
      <c r="I33" t="s">
        <v>30</v>
      </c>
      <c r="J33">
        <v>130</v>
      </c>
      <c r="K33">
        <v>86</v>
      </c>
      <c r="L33">
        <v>4100</v>
      </c>
      <c r="M33" t="s">
        <v>25</v>
      </c>
      <c r="N33" t="str">
        <f>IF(Sleep_health_and_lifestyle_dataset3[[#This Row],[Sleep Duration]]&gt;=8,"Good",IF(Sleep_health_and_lifestyle_dataset3[[#This Row],[Sleep Duration]]&gt;=5,"Average","Poor"))</f>
        <v>Average</v>
      </c>
      <c r="O33" t="str">
        <f>IF(Sleep_health_and_lifestyle_dataset3[[#This Row],[Physical Activity Level]]&gt;=60,"High",IF(Sleep_health_and_lifestyle_dataset3[[#This Row],[Physical Activity Level]]&gt;=40,"Medium","Low"))</f>
        <v>Low</v>
      </c>
    </row>
    <row r="34" spans="1:15" x14ac:dyDescent="0.25">
      <c r="A34">
        <v>33</v>
      </c>
      <c r="B34" t="s">
        <v>28</v>
      </c>
      <c r="C34">
        <v>31</v>
      </c>
      <c r="D34" t="s">
        <v>29</v>
      </c>
      <c r="E34">
        <v>7.9</v>
      </c>
      <c r="F34">
        <v>8</v>
      </c>
      <c r="G34">
        <v>75</v>
      </c>
      <c r="H34">
        <v>4</v>
      </c>
      <c r="I34" t="s">
        <v>30</v>
      </c>
      <c r="J34">
        <v>117</v>
      </c>
      <c r="K34">
        <v>76</v>
      </c>
      <c r="L34">
        <v>6800</v>
      </c>
      <c r="M34" t="s">
        <v>17</v>
      </c>
      <c r="N34" t="str">
        <f>IF(Sleep_health_and_lifestyle_dataset3[[#This Row],[Sleep Duration]]&gt;=8,"Good",IF(Sleep_health_and_lifestyle_dataset3[[#This Row],[Sleep Duration]]&gt;=5,"Average","Poor"))</f>
        <v>Average</v>
      </c>
      <c r="O34" t="str">
        <f>IF(Sleep_health_and_lifestyle_dataset3[[#This Row],[Physical Activity Level]]&gt;=60,"High",IF(Sleep_health_and_lifestyle_dataset3[[#This Row],[Physical Activity Level]]&gt;=40,"Medium","Low"))</f>
        <v>High</v>
      </c>
    </row>
    <row r="35" spans="1:15" x14ac:dyDescent="0.25">
      <c r="A35">
        <v>34</v>
      </c>
      <c r="B35" t="s">
        <v>13</v>
      </c>
      <c r="C35">
        <v>31</v>
      </c>
      <c r="D35" t="s">
        <v>18</v>
      </c>
      <c r="E35">
        <v>6.1</v>
      </c>
      <c r="F35">
        <v>6</v>
      </c>
      <c r="G35">
        <v>30</v>
      </c>
      <c r="H35">
        <v>8</v>
      </c>
      <c r="I35" t="s">
        <v>19</v>
      </c>
      <c r="J35">
        <v>125</v>
      </c>
      <c r="K35">
        <v>80</v>
      </c>
      <c r="L35">
        <v>5000</v>
      </c>
      <c r="M35" t="s">
        <v>17</v>
      </c>
      <c r="N35" t="str">
        <f>IF(Sleep_health_and_lifestyle_dataset3[[#This Row],[Sleep Duration]]&gt;=8,"Good",IF(Sleep_health_and_lifestyle_dataset3[[#This Row],[Sleep Duration]]&gt;=5,"Average","Poor"))</f>
        <v>Average</v>
      </c>
      <c r="O35" t="str">
        <f>IF(Sleep_health_and_lifestyle_dataset3[[#This Row],[Physical Activity Level]]&gt;=60,"High",IF(Sleep_health_and_lifestyle_dataset3[[#This Row],[Physical Activity Level]]&gt;=40,"Medium","Low"))</f>
        <v>Low</v>
      </c>
    </row>
    <row r="36" spans="1:15" x14ac:dyDescent="0.25">
      <c r="A36">
        <v>35</v>
      </c>
      <c r="B36" t="s">
        <v>13</v>
      </c>
      <c r="C36">
        <v>31</v>
      </c>
      <c r="D36" t="s">
        <v>18</v>
      </c>
      <c r="E36">
        <v>7.7</v>
      </c>
      <c r="F36">
        <v>7</v>
      </c>
      <c r="G36">
        <v>75</v>
      </c>
      <c r="H36">
        <v>6</v>
      </c>
      <c r="I36" t="s">
        <v>19</v>
      </c>
      <c r="J36">
        <v>120</v>
      </c>
      <c r="K36">
        <v>80</v>
      </c>
      <c r="L36">
        <v>8000</v>
      </c>
      <c r="M36" t="s">
        <v>17</v>
      </c>
      <c r="N36" t="str">
        <f>IF(Sleep_health_and_lifestyle_dataset3[[#This Row],[Sleep Duration]]&gt;=8,"Good",IF(Sleep_health_and_lifestyle_dataset3[[#This Row],[Sleep Duration]]&gt;=5,"Average","Poor"))</f>
        <v>Average</v>
      </c>
      <c r="O36" t="str">
        <f>IF(Sleep_health_and_lifestyle_dataset3[[#This Row],[Physical Activity Level]]&gt;=60,"High",IF(Sleep_health_and_lifestyle_dataset3[[#This Row],[Physical Activity Level]]&gt;=40,"Medium","Low"))</f>
        <v>High</v>
      </c>
    </row>
    <row r="37" spans="1:15" x14ac:dyDescent="0.25">
      <c r="A37">
        <v>36</v>
      </c>
      <c r="B37" t="s">
        <v>13</v>
      </c>
      <c r="C37">
        <v>31</v>
      </c>
      <c r="D37" t="s">
        <v>18</v>
      </c>
      <c r="E37">
        <v>6.1</v>
      </c>
      <c r="F37">
        <v>6</v>
      </c>
      <c r="G37">
        <v>30</v>
      </c>
      <c r="H37">
        <v>8</v>
      </c>
      <c r="I37" t="s">
        <v>19</v>
      </c>
      <c r="J37">
        <v>125</v>
      </c>
      <c r="K37">
        <v>80</v>
      </c>
      <c r="L37">
        <v>5000</v>
      </c>
      <c r="M37" t="s">
        <v>17</v>
      </c>
      <c r="N37" t="str">
        <f>IF(Sleep_health_and_lifestyle_dataset3[[#This Row],[Sleep Duration]]&gt;=8,"Good",IF(Sleep_health_and_lifestyle_dataset3[[#This Row],[Sleep Duration]]&gt;=5,"Average","Poor"))</f>
        <v>Average</v>
      </c>
      <c r="O37" t="str">
        <f>IF(Sleep_health_and_lifestyle_dataset3[[#This Row],[Physical Activity Level]]&gt;=60,"High",IF(Sleep_health_and_lifestyle_dataset3[[#This Row],[Physical Activity Level]]&gt;=40,"Medium","Low"))</f>
        <v>Low</v>
      </c>
    </row>
    <row r="38" spans="1:15" x14ac:dyDescent="0.25">
      <c r="A38">
        <v>37</v>
      </c>
      <c r="B38" t="s">
        <v>13</v>
      </c>
      <c r="C38">
        <v>31</v>
      </c>
      <c r="D38" t="s">
        <v>18</v>
      </c>
      <c r="E38">
        <v>6.1</v>
      </c>
      <c r="F38">
        <v>6</v>
      </c>
      <c r="G38">
        <v>30</v>
      </c>
      <c r="H38">
        <v>8</v>
      </c>
      <c r="I38" t="s">
        <v>19</v>
      </c>
      <c r="J38">
        <v>125</v>
      </c>
      <c r="K38">
        <v>80</v>
      </c>
      <c r="L38">
        <v>5000</v>
      </c>
      <c r="M38" t="s">
        <v>17</v>
      </c>
      <c r="N38" t="str">
        <f>IF(Sleep_health_and_lifestyle_dataset3[[#This Row],[Sleep Duration]]&gt;=8,"Good",IF(Sleep_health_and_lifestyle_dataset3[[#This Row],[Sleep Duration]]&gt;=5,"Average","Poor"))</f>
        <v>Average</v>
      </c>
      <c r="O38" t="str">
        <f>IF(Sleep_health_and_lifestyle_dataset3[[#This Row],[Physical Activity Level]]&gt;=60,"High",IF(Sleep_health_and_lifestyle_dataset3[[#This Row],[Physical Activity Level]]&gt;=40,"Medium","Low"))</f>
        <v>Low</v>
      </c>
    </row>
    <row r="39" spans="1:15" x14ac:dyDescent="0.25">
      <c r="A39">
        <v>38</v>
      </c>
      <c r="B39" t="s">
        <v>13</v>
      </c>
      <c r="C39">
        <v>31</v>
      </c>
      <c r="D39" t="s">
        <v>18</v>
      </c>
      <c r="E39">
        <v>7.6</v>
      </c>
      <c r="F39">
        <v>7</v>
      </c>
      <c r="G39">
        <v>75</v>
      </c>
      <c r="H39">
        <v>6</v>
      </c>
      <c r="I39" t="s">
        <v>19</v>
      </c>
      <c r="J39">
        <v>120</v>
      </c>
      <c r="K39">
        <v>80</v>
      </c>
      <c r="L39">
        <v>8000</v>
      </c>
      <c r="M39" t="s">
        <v>17</v>
      </c>
      <c r="N39" t="str">
        <f>IF(Sleep_health_and_lifestyle_dataset3[[#This Row],[Sleep Duration]]&gt;=8,"Good",IF(Sleep_health_and_lifestyle_dataset3[[#This Row],[Sleep Duration]]&gt;=5,"Average","Poor"))</f>
        <v>Average</v>
      </c>
      <c r="O39" t="str">
        <f>IF(Sleep_health_and_lifestyle_dataset3[[#This Row],[Physical Activity Level]]&gt;=60,"High",IF(Sleep_health_and_lifestyle_dataset3[[#This Row],[Physical Activity Level]]&gt;=40,"Medium","Low"))</f>
        <v>High</v>
      </c>
    </row>
    <row r="40" spans="1:15" x14ac:dyDescent="0.25">
      <c r="A40">
        <v>39</v>
      </c>
      <c r="B40" t="s">
        <v>13</v>
      </c>
      <c r="C40">
        <v>31</v>
      </c>
      <c r="D40" t="s">
        <v>18</v>
      </c>
      <c r="E40">
        <v>7.6</v>
      </c>
      <c r="F40">
        <v>7</v>
      </c>
      <c r="G40">
        <v>75</v>
      </c>
      <c r="H40">
        <v>6</v>
      </c>
      <c r="I40" t="s">
        <v>19</v>
      </c>
      <c r="J40">
        <v>120</v>
      </c>
      <c r="K40">
        <v>80</v>
      </c>
      <c r="L40">
        <v>8000</v>
      </c>
      <c r="M40" t="s">
        <v>17</v>
      </c>
      <c r="N40" t="str">
        <f>IF(Sleep_health_and_lifestyle_dataset3[[#This Row],[Sleep Duration]]&gt;=8,"Good",IF(Sleep_health_and_lifestyle_dataset3[[#This Row],[Sleep Duration]]&gt;=5,"Average","Poor"))</f>
        <v>Average</v>
      </c>
      <c r="O40" t="str">
        <f>IF(Sleep_health_and_lifestyle_dataset3[[#This Row],[Physical Activity Level]]&gt;=60,"High",IF(Sleep_health_and_lifestyle_dataset3[[#This Row],[Physical Activity Level]]&gt;=40,"Medium","Low"))</f>
        <v>High</v>
      </c>
    </row>
    <row r="41" spans="1:15" x14ac:dyDescent="0.25">
      <c r="A41">
        <v>40</v>
      </c>
      <c r="B41" t="s">
        <v>13</v>
      </c>
      <c r="C41">
        <v>31</v>
      </c>
      <c r="D41" t="s">
        <v>18</v>
      </c>
      <c r="E41">
        <v>7.6</v>
      </c>
      <c r="F41">
        <v>7</v>
      </c>
      <c r="G41">
        <v>75</v>
      </c>
      <c r="H41">
        <v>6</v>
      </c>
      <c r="I41" t="s">
        <v>19</v>
      </c>
      <c r="J41">
        <v>120</v>
      </c>
      <c r="K41">
        <v>80</v>
      </c>
      <c r="L41">
        <v>8000</v>
      </c>
      <c r="M41" t="s">
        <v>17</v>
      </c>
      <c r="N41" t="str">
        <f>IF(Sleep_health_and_lifestyle_dataset3[[#This Row],[Sleep Duration]]&gt;=8,"Good",IF(Sleep_health_and_lifestyle_dataset3[[#This Row],[Sleep Duration]]&gt;=5,"Average","Poor"))</f>
        <v>Average</v>
      </c>
      <c r="O41" t="str">
        <f>IF(Sleep_health_and_lifestyle_dataset3[[#This Row],[Physical Activity Level]]&gt;=60,"High",IF(Sleep_health_and_lifestyle_dataset3[[#This Row],[Physical Activity Level]]&gt;=40,"Medium","Low"))</f>
        <v>High</v>
      </c>
    </row>
    <row r="42" spans="1:15" x14ac:dyDescent="0.25">
      <c r="A42">
        <v>41</v>
      </c>
      <c r="B42" t="s">
        <v>13</v>
      </c>
      <c r="C42">
        <v>31</v>
      </c>
      <c r="D42" t="s">
        <v>18</v>
      </c>
      <c r="E42">
        <v>7.7</v>
      </c>
      <c r="F42">
        <v>7</v>
      </c>
      <c r="G42">
        <v>75</v>
      </c>
      <c r="H42">
        <v>6</v>
      </c>
      <c r="I42" t="s">
        <v>19</v>
      </c>
      <c r="J42">
        <v>120</v>
      </c>
      <c r="K42">
        <v>80</v>
      </c>
      <c r="L42">
        <v>8000</v>
      </c>
      <c r="M42" t="s">
        <v>17</v>
      </c>
      <c r="N42" t="str">
        <f>IF(Sleep_health_and_lifestyle_dataset3[[#This Row],[Sleep Duration]]&gt;=8,"Good",IF(Sleep_health_and_lifestyle_dataset3[[#This Row],[Sleep Duration]]&gt;=5,"Average","Poor"))</f>
        <v>Average</v>
      </c>
      <c r="O42" t="str">
        <f>IF(Sleep_health_and_lifestyle_dataset3[[#This Row],[Physical Activity Level]]&gt;=60,"High",IF(Sleep_health_and_lifestyle_dataset3[[#This Row],[Physical Activity Level]]&gt;=40,"Medium","Low"))</f>
        <v>High</v>
      </c>
    </row>
    <row r="43" spans="1:15" x14ac:dyDescent="0.25">
      <c r="A43">
        <v>42</v>
      </c>
      <c r="B43" t="s">
        <v>13</v>
      </c>
      <c r="C43">
        <v>31</v>
      </c>
      <c r="D43" t="s">
        <v>18</v>
      </c>
      <c r="E43">
        <v>7.7</v>
      </c>
      <c r="F43">
        <v>7</v>
      </c>
      <c r="G43">
        <v>75</v>
      </c>
      <c r="H43">
        <v>6</v>
      </c>
      <c r="I43" t="s">
        <v>19</v>
      </c>
      <c r="J43">
        <v>120</v>
      </c>
      <c r="K43">
        <v>80</v>
      </c>
      <c r="L43">
        <v>8000</v>
      </c>
      <c r="M43" t="s">
        <v>17</v>
      </c>
      <c r="N43" t="str">
        <f>IF(Sleep_health_and_lifestyle_dataset3[[#This Row],[Sleep Duration]]&gt;=8,"Good",IF(Sleep_health_and_lifestyle_dataset3[[#This Row],[Sleep Duration]]&gt;=5,"Average","Poor"))</f>
        <v>Average</v>
      </c>
      <c r="O43" t="str">
        <f>IF(Sleep_health_and_lifestyle_dataset3[[#This Row],[Physical Activity Level]]&gt;=60,"High",IF(Sleep_health_and_lifestyle_dataset3[[#This Row],[Physical Activity Level]]&gt;=40,"Medium","Low"))</f>
        <v>High</v>
      </c>
    </row>
    <row r="44" spans="1:15" x14ac:dyDescent="0.25">
      <c r="A44">
        <v>43</v>
      </c>
      <c r="B44" t="s">
        <v>13</v>
      </c>
      <c r="C44">
        <v>31</v>
      </c>
      <c r="D44" t="s">
        <v>18</v>
      </c>
      <c r="E44">
        <v>7.7</v>
      </c>
      <c r="F44">
        <v>7</v>
      </c>
      <c r="G44">
        <v>75</v>
      </c>
      <c r="H44">
        <v>6</v>
      </c>
      <c r="I44" t="s">
        <v>19</v>
      </c>
      <c r="J44">
        <v>120</v>
      </c>
      <c r="K44">
        <v>80</v>
      </c>
      <c r="L44">
        <v>8000</v>
      </c>
      <c r="M44" t="s">
        <v>17</v>
      </c>
      <c r="N44" t="str">
        <f>IF(Sleep_health_and_lifestyle_dataset3[[#This Row],[Sleep Duration]]&gt;=8,"Good",IF(Sleep_health_and_lifestyle_dataset3[[#This Row],[Sleep Duration]]&gt;=5,"Average","Poor"))</f>
        <v>Average</v>
      </c>
      <c r="O44" t="str">
        <f>IF(Sleep_health_and_lifestyle_dataset3[[#This Row],[Physical Activity Level]]&gt;=60,"High",IF(Sleep_health_and_lifestyle_dataset3[[#This Row],[Physical Activity Level]]&gt;=40,"Medium","Low"))</f>
        <v>High</v>
      </c>
    </row>
    <row r="45" spans="1:15" x14ac:dyDescent="0.25">
      <c r="A45">
        <v>44</v>
      </c>
      <c r="B45" t="s">
        <v>13</v>
      </c>
      <c r="C45">
        <v>31</v>
      </c>
      <c r="D45" t="s">
        <v>18</v>
      </c>
      <c r="E45">
        <v>7.8</v>
      </c>
      <c r="F45">
        <v>7</v>
      </c>
      <c r="G45">
        <v>75</v>
      </c>
      <c r="H45">
        <v>6</v>
      </c>
      <c r="I45" t="s">
        <v>19</v>
      </c>
      <c r="J45">
        <v>120</v>
      </c>
      <c r="K45">
        <v>80</v>
      </c>
      <c r="L45">
        <v>8000</v>
      </c>
      <c r="M45" t="s">
        <v>17</v>
      </c>
      <c r="N45" t="str">
        <f>IF(Sleep_health_and_lifestyle_dataset3[[#This Row],[Sleep Duration]]&gt;=8,"Good",IF(Sleep_health_and_lifestyle_dataset3[[#This Row],[Sleep Duration]]&gt;=5,"Average","Poor"))</f>
        <v>Average</v>
      </c>
      <c r="O45" t="str">
        <f>IF(Sleep_health_and_lifestyle_dataset3[[#This Row],[Physical Activity Level]]&gt;=60,"High",IF(Sleep_health_and_lifestyle_dataset3[[#This Row],[Physical Activity Level]]&gt;=40,"Medium","Low"))</f>
        <v>High</v>
      </c>
    </row>
    <row r="46" spans="1:15" x14ac:dyDescent="0.25">
      <c r="A46">
        <v>45</v>
      </c>
      <c r="B46" t="s">
        <v>13</v>
      </c>
      <c r="C46">
        <v>31</v>
      </c>
      <c r="D46" t="s">
        <v>18</v>
      </c>
      <c r="E46">
        <v>7.7</v>
      </c>
      <c r="F46">
        <v>7</v>
      </c>
      <c r="G46">
        <v>75</v>
      </c>
      <c r="H46">
        <v>6</v>
      </c>
      <c r="I46" t="s">
        <v>19</v>
      </c>
      <c r="J46">
        <v>120</v>
      </c>
      <c r="K46">
        <v>80</v>
      </c>
      <c r="L46">
        <v>8000</v>
      </c>
      <c r="M46" t="s">
        <v>17</v>
      </c>
      <c r="N46" t="str">
        <f>IF(Sleep_health_and_lifestyle_dataset3[[#This Row],[Sleep Duration]]&gt;=8,"Good",IF(Sleep_health_and_lifestyle_dataset3[[#This Row],[Sleep Duration]]&gt;=5,"Average","Poor"))</f>
        <v>Average</v>
      </c>
      <c r="O46" t="str">
        <f>IF(Sleep_health_and_lifestyle_dataset3[[#This Row],[Physical Activity Level]]&gt;=60,"High",IF(Sleep_health_and_lifestyle_dataset3[[#This Row],[Physical Activity Level]]&gt;=40,"Medium","Low"))</f>
        <v>High</v>
      </c>
    </row>
    <row r="47" spans="1:15" x14ac:dyDescent="0.25">
      <c r="A47">
        <v>46</v>
      </c>
      <c r="B47" t="s">
        <v>13</v>
      </c>
      <c r="C47">
        <v>31</v>
      </c>
      <c r="D47" t="s">
        <v>18</v>
      </c>
      <c r="E47">
        <v>7.8</v>
      </c>
      <c r="F47">
        <v>7</v>
      </c>
      <c r="G47">
        <v>75</v>
      </c>
      <c r="H47">
        <v>6</v>
      </c>
      <c r="I47" t="s">
        <v>19</v>
      </c>
      <c r="J47">
        <v>120</v>
      </c>
      <c r="K47">
        <v>80</v>
      </c>
      <c r="L47">
        <v>8000</v>
      </c>
      <c r="M47" t="s">
        <v>17</v>
      </c>
      <c r="N47" t="str">
        <f>IF(Sleep_health_and_lifestyle_dataset3[[#This Row],[Sleep Duration]]&gt;=8,"Good",IF(Sleep_health_and_lifestyle_dataset3[[#This Row],[Sleep Duration]]&gt;=5,"Average","Poor"))</f>
        <v>Average</v>
      </c>
      <c r="O47" t="str">
        <f>IF(Sleep_health_and_lifestyle_dataset3[[#This Row],[Physical Activity Level]]&gt;=60,"High",IF(Sleep_health_and_lifestyle_dataset3[[#This Row],[Physical Activity Level]]&gt;=40,"Medium","Low"))</f>
        <v>High</v>
      </c>
    </row>
    <row r="48" spans="1:15" x14ac:dyDescent="0.25">
      <c r="A48">
        <v>47</v>
      </c>
      <c r="B48" t="s">
        <v>13</v>
      </c>
      <c r="C48">
        <v>31</v>
      </c>
      <c r="D48" t="s">
        <v>18</v>
      </c>
      <c r="E48">
        <v>7.7</v>
      </c>
      <c r="F48">
        <v>7</v>
      </c>
      <c r="G48">
        <v>75</v>
      </c>
      <c r="H48">
        <v>6</v>
      </c>
      <c r="I48" t="s">
        <v>19</v>
      </c>
      <c r="J48">
        <v>120</v>
      </c>
      <c r="K48">
        <v>80</v>
      </c>
      <c r="L48">
        <v>8000</v>
      </c>
      <c r="M48" t="s">
        <v>17</v>
      </c>
      <c r="N48" t="str">
        <f>IF(Sleep_health_and_lifestyle_dataset3[[#This Row],[Sleep Duration]]&gt;=8,"Good",IF(Sleep_health_and_lifestyle_dataset3[[#This Row],[Sleep Duration]]&gt;=5,"Average","Poor"))</f>
        <v>Average</v>
      </c>
      <c r="O48" t="str">
        <f>IF(Sleep_health_and_lifestyle_dataset3[[#This Row],[Physical Activity Level]]&gt;=60,"High",IF(Sleep_health_and_lifestyle_dataset3[[#This Row],[Physical Activity Level]]&gt;=40,"Medium","Low"))</f>
        <v>High</v>
      </c>
    </row>
    <row r="49" spans="1:15" x14ac:dyDescent="0.25">
      <c r="A49">
        <v>48</v>
      </c>
      <c r="B49" t="s">
        <v>13</v>
      </c>
      <c r="C49">
        <v>31</v>
      </c>
      <c r="D49" t="s">
        <v>18</v>
      </c>
      <c r="E49">
        <v>7.8</v>
      </c>
      <c r="F49">
        <v>7</v>
      </c>
      <c r="G49">
        <v>75</v>
      </c>
      <c r="H49">
        <v>6</v>
      </c>
      <c r="I49" t="s">
        <v>19</v>
      </c>
      <c r="J49">
        <v>120</v>
      </c>
      <c r="K49">
        <v>80</v>
      </c>
      <c r="L49">
        <v>8000</v>
      </c>
      <c r="M49" t="s">
        <v>17</v>
      </c>
      <c r="N49" t="str">
        <f>IF(Sleep_health_and_lifestyle_dataset3[[#This Row],[Sleep Duration]]&gt;=8,"Good",IF(Sleep_health_and_lifestyle_dataset3[[#This Row],[Sleep Duration]]&gt;=5,"Average","Poor"))</f>
        <v>Average</v>
      </c>
      <c r="O49" t="str">
        <f>IF(Sleep_health_and_lifestyle_dataset3[[#This Row],[Physical Activity Level]]&gt;=60,"High",IF(Sleep_health_and_lifestyle_dataset3[[#This Row],[Physical Activity Level]]&gt;=40,"Medium","Low"))</f>
        <v>High</v>
      </c>
    </row>
    <row r="50" spans="1:15" x14ac:dyDescent="0.25">
      <c r="A50">
        <v>49</v>
      </c>
      <c r="B50" t="s">
        <v>13</v>
      </c>
      <c r="C50">
        <v>31</v>
      </c>
      <c r="D50" t="s">
        <v>18</v>
      </c>
      <c r="E50">
        <v>7.7</v>
      </c>
      <c r="F50">
        <v>7</v>
      </c>
      <c r="G50">
        <v>75</v>
      </c>
      <c r="H50">
        <v>6</v>
      </c>
      <c r="I50" t="s">
        <v>19</v>
      </c>
      <c r="J50">
        <v>120</v>
      </c>
      <c r="K50">
        <v>80</v>
      </c>
      <c r="L50">
        <v>8000</v>
      </c>
      <c r="M50" t="s">
        <v>17</v>
      </c>
      <c r="N50" t="str">
        <f>IF(Sleep_health_and_lifestyle_dataset3[[#This Row],[Sleep Duration]]&gt;=8,"Good",IF(Sleep_health_and_lifestyle_dataset3[[#This Row],[Sleep Duration]]&gt;=5,"Average","Poor"))</f>
        <v>Average</v>
      </c>
      <c r="O50" t="str">
        <f>IF(Sleep_health_and_lifestyle_dataset3[[#This Row],[Physical Activity Level]]&gt;=60,"High",IF(Sleep_health_and_lifestyle_dataset3[[#This Row],[Physical Activity Level]]&gt;=40,"Medium","Low"))</f>
        <v>High</v>
      </c>
    </row>
    <row r="51" spans="1:15" x14ac:dyDescent="0.25">
      <c r="A51">
        <v>50</v>
      </c>
      <c r="B51" t="s">
        <v>13</v>
      </c>
      <c r="C51">
        <v>31</v>
      </c>
      <c r="D51" t="s">
        <v>18</v>
      </c>
      <c r="E51">
        <v>7.7</v>
      </c>
      <c r="F51">
        <v>7</v>
      </c>
      <c r="G51">
        <v>75</v>
      </c>
      <c r="H51">
        <v>6</v>
      </c>
      <c r="I51" t="s">
        <v>19</v>
      </c>
      <c r="J51">
        <v>120</v>
      </c>
      <c r="K51">
        <v>80</v>
      </c>
      <c r="L51">
        <v>8000</v>
      </c>
      <c r="M51" t="s">
        <v>24</v>
      </c>
      <c r="N51" t="str">
        <f>IF(Sleep_health_and_lifestyle_dataset3[[#This Row],[Sleep Duration]]&gt;=8,"Good",IF(Sleep_health_and_lifestyle_dataset3[[#This Row],[Sleep Duration]]&gt;=5,"Average","Poor"))</f>
        <v>Average</v>
      </c>
      <c r="O51" t="str">
        <f>IF(Sleep_health_and_lifestyle_dataset3[[#This Row],[Physical Activity Level]]&gt;=60,"High",IF(Sleep_health_and_lifestyle_dataset3[[#This Row],[Physical Activity Level]]&gt;=40,"Medium","Low"))</f>
        <v>High</v>
      </c>
    </row>
    <row r="52" spans="1:15" x14ac:dyDescent="0.25">
      <c r="A52">
        <v>51</v>
      </c>
      <c r="B52" t="s">
        <v>13</v>
      </c>
      <c r="C52">
        <v>32</v>
      </c>
      <c r="D52" t="s">
        <v>34</v>
      </c>
      <c r="E52">
        <v>7.5</v>
      </c>
      <c r="F52">
        <v>8</v>
      </c>
      <c r="G52">
        <v>45</v>
      </c>
      <c r="H52">
        <v>3</v>
      </c>
      <c r="I52" t="s">
        <v>19</v>
      </c>
      <c r="J52">
        <v>120</v>
      </c>
      <c r="K52">
        <v>80</v>
      </c>
      <c r="L52">
        <v>8000</v>
      </c>
      <c r="M52" t="s">
        <v>17</v>
      </c>
      <c r="N52" t="str">
        <f>IF(Sleep_health_and_lifestyle_dataset3[[#This Row],[Sleep Duration]]&gt;=8,"Good",IF(Sleep_health_and_lifestyle_dataset3[[#This Row],[Sleep Duration]]&gt;=5,"Average","Poor"))</f>
        <v>Average</v>
      </c>
      <c r="O52" t="str">
        <f>IF(Sleep_health_and_lifestyle_dataset3[[#This Row],[Physical Activity Level]]&gt;=60,"High",IF(Sleep_health_and_lifestyle_dataset3[[#This Row],[Physical Activity Level]]&gt;=40,"Medium","Low"))</f>
        <v>Medium</v>
      </c>
    </row>
    <row r="53" spans="1:15" x14ac:dyDescent="0.25">
      <c r="A53">
        <v>52</v>
      </c>
      <c r="B53" t="s">
        <v>13</v>
      </c>
      <c r="C53">
        <v>32</v>
      </c>
      <c r="D53" t="s">
        <v>34</v>
      </c>
      <c r="E53">
        <v>7.5</v>
      </c>
      <c r="F53">
        <v>8</v>
      </c>
      <c r="G53">
        <v>45</v>
      </c>
      <c r="H53">
        <v>3</v>
      </c>
      <c r="I53" t="s">
        <v>19</v>
      </c>
      <c r="J53">
        <v>120</v>
      </c>
      <c r="K53">
        <v>80</v>
      </c>
      <c r="L53">
        <v>8000</v>
      </c>
      <c r="M53" t="s">
        <v>17</v>
      </c>
      <c r="N53" t="str">
        <f>IF(Sleep_health_and_lifestyle_dataset3[[#This Row],[Sleep Duration]]&gt;=8,"Good",IF(Sleep_health_and_lifestyle_dataset3[[#This Row],[Sleep Duration]]&gt;=5,"Average","Poor"))</f>
        <v>Average</v>
      </c>
      <c r="O53" t="str">
        <f>IF(Sleep_health_and_lifestyle_dataset3[[#This Row],[Physical Activity Level]]&gt;=60,"High",IF(Sleep_health_and_lifestyle_dataset3[[#This Row],[Physical Activity Level]]&gt;=40,"Medium","Low"))</f>
        <v>Medium</v>
      </c>
    </row>
    <row r="54" spans="1:15" x14ac:dyDescent="0.25">
      <c r="A54">
        <v>53</v>
      </c>
      <c r="B54" t="s">
        <v>13</v>
      </c>
      <c r="C54">
        <v>32</v>
      </c>
      <c r="D54" t="s">
        <v>18</v>
      </c>
      <c r="E54">
        <v>6</v>
      </c>
      <c r="F54">
        <v>6</v>
      </c>
      <c r="G54">
        <v>30</v>
      </c>
      <c r="H54">
        <v>8</v>
      </c>
      <c r="I54" t="s">
        <v>19</v>
      </c>
      <c r="J54">
        <v>125</v>
      </c>
      <c r="K54">
        <v>80</v>
      </c>
      <c r="L54">
        <v>5000</v>
      </c>
      <c r="M54" t="s">
        <v>17</v>
      </c>
      <c r="N54" t="str">
        <f>IF(Sleep_health_and_lifestyle_dataset3[[#This Row],[Sleep Duration]]&gt;=8,"Good",IF(Sleep_health_and_lifestyle_dataset3[[#This Row],[Sleep Duration]]&gt;=5,"Average","Poor"))</f>
        <v>Average</v>
      </c>
      <c r="O54" t="str">
        <f>IF(Sleep_health_and_lifestyle_dataset3[[#This Row],[Physical Activity Level]]&gt;=60,"High",IF(Sleep_health_and_lifestyle_dataset3[[#This Row],[Physical Activity Level]]&gt;=40,"Medium","Low"))</f>
        <v>Low</v>
      </c>
    </row>
    <row r="55" spans="1:15" x14ac:dyDescent="0.25">
      <c r="A55">
        <v>54</v>
      </c>
      <c r="B55" t="s">
        <v>13</v>
      </c>
      <c r="C55">
        <v>32</v>
      </c>
      <c r="D55" t="s">
        <v>18</v>
      </c>
      <c r="E55">
        <v>7.6</v>
      </c>
      <c r="F55">
        <v>7</v>
      </c>
      <c r="G55">
        <v>75</v>
      </c>
      <c r="H55">
        <v>6</v>
      </c>
      <c r="I55" t="s">
        <v>19</v>
      </c>
      <c r="J55">
        <v>120</v>
      </c>
      <c r="K55">
        <v>80</v>
      </c>
      <c r="L55">
        <v>8000</v>
      </c>
      <c r="M55" t="s">
        <v>17</v>
      </c>
      <c r="N55" t="str">
        <f>IF(Sleep_health_and_lifestyle_dataset3[[#This Row],[Sleep Duration]]&gt;=8,"Good",IF(Sleep_health_and_lifestyle_dataset3[[#This Row],[Sleep Duration]]&gt;=5,"Average","Poor"))</f>
        <v>Average</v>
      </c>
      <c r="O55" t="str">
        <f>IF(Sleep_health_and_lifestyle_dataset3[[#This Row],[Physical Activity Level]]&gt;=60,"High",IF(Sleep_health_and_lifestyle_dataset3[[#This Row],[Physical Activity Level]]&gt;=40,"Medium","Low"))</f>
        <v>High</v>
      </c>
    </row>
    <row r="56" spans="1:15" x14ac:dyDescent="0.25">
      <c r="A56">
        <v>55</v>
      </c>
      <c r="B56" t="s">
        <v>13</v>
      </c>
      <c r="C56">
        <v>32</v>
      </c>
      <c r="D56" t="s">
        <v>18</v>
      </c>
      <c r="E56">
        <v>6</v>
      </c>
      <c r="F56">
        <v>6</v>
      </c>
      <c r="G56">
        <v>30</v>
      </c>
      <c r="H56">
        <v>8</v>
      </c>
      <c r="I56" t="s">
        <v>19</v>
      </c>
      <c r="J56">
        <v>125</v>
      </c>
      <c r="K56">
        <v>80</v>
      </c>
      <c r="L56">
        <v>5000</v>
      </c>
      <c r="M56" t="s">
        <v>17</v>
      </c>
      <c r="N56" t="str">
        <f>IF(Sleep_health_and_lifestyle_dataset3[[#This Row],[Sleep Duration]]&gt;=8,"Good",IF(Sleep_health_and_lifestyle_dataset3[[#This Row],[Sleep Duration]]&gt;=5,"Average","Poor"))</f>
        <v>Average</v>
      </c>
      <c r="O56" t="str">
        <f>IF(Sleep_health_and_lifestyle_dataset3[[#This Row],[Physical Activity Level]]&gt;=60,"High",IF(Sleep_health_and_lifestyle_dataset3[[#This Row],[Physical Activity Level]]&gt;=40,"Medium","Low"))</f>
        <v>Low</v>
      </c>
    </row>
    <row r="57" spans="1:15" x14ac:dyDescent="0.25">
      <c r="A57">
        <v>56</v>
      </c>
      <c r="B57" t="s">
        <v>13</v>
      </c>
      <c r="C57">
        <v>32</v>
      </c>
      <c r="D57" t="s">
        <v>18</v>
      </c>
      <c r="E57">
        <v>6</v>
      </c>
      <c r="F57">
        <v>6</v>
      </c>
      <c r="G57">
        <v>30</v>
      </c>
      <c r="H57">
        <v>8</v>
      </c>
      <c r="I57" t="s">
        <v>19</v>
      </c>
      <c r="J57">
        <v>125</v>
      </c>
      <c r="K57">
        <v>80</v>
      </c>
      <c r="L57">
        <v>5000</v>
      </c>
      <c r="M57" t="s">
        <v>17</v>
      </c>
      <c r="N57" t="str">
        <f>IF(Sleep_health_and_lifestyle_dataset3[[#This Row],[Sleep Duration]]&gt;=8,"Good",IF(Sleep_health_and_lifestyle_dataset3[[#This Row],[Sleep Duration]]&gt;=5,"Average","Poor"))</f>
        <v>Average</v>
      </c>
      <c r="O57" t="str">
        <f>IF(Sleep_health_and_lifestyle_dataset3[[#This Row],[Physical Activity Level]]&gt;=60,"High",IF(Sleep_health_and_lifestyle_dataset3[[#This Row],[Physical Activity Level]]&gt;=40,"Medium","Low"))</f>
        <v>Low</v>
      </c>
    </row>
    <row r="58" spans="1:15" x14ac:dyDescent="0.25">
      <c r="A58">
        <v>57</v>
      </c>
      <c r="B58" t="s">
        <v>13</v>
      </c>
      <c r="C58">
        <v>32</v>
      </c>
      <c r="D58" t="s">
        <v>18</v>
      </c>
      <c r="E58">
        <v>7.7</v>
      </c>
      <c r="F58">
        <v>7</v>
      </c>
      <c r="G58">
        <v>75</v>
      </c>
      <c r="H58">
        <v>6</v>
      </c>
      <c r="I58" t="s">
        <v>19</v>
      </c>
      <c r="J58">
        <v>120</v>
      </c>
      <c r="K58">
        <v>80</v>
      </c>
      <c r="L58">
        <v>8000</v>
      </c>
      <c r="M58" t="s">
        <v>17</v>
      </c>
      <c r="N58" t="str">
        <f>IF(Sleep_health_and_lifestyle_dataset3[[#This Row],[Sleep Duration]]&gt;=8,"Good",IF(Sleep_health_and_lifestyle_dataset3[[#This Row],[Sleep Duration]]&gt;=5,"Average","Poor"))</f>
        <v>Average</v>
      </c>
      <c r="O58" t="str">
        <f>IF(Sleep_health_and_lifestyle_dataset3[[#This Row],[Physical Activity Level]]&gt;=60,"High",IF(Sleep_health_and_lifestyle_dataset3[[#This Row],[Physical Activity Level]]&gt;=40,"Medium","Low"))</f>
        <v>High</v>
      </c>
    </row>
    <row r="59" spans="1:15" x14ac:dyDescent="0.25">
      <c r="A59">
        <v>58</v>
      </c>
      <c r="B59" t="s">
        <v>13</v>
      </c>
      <c r="C59">
        <v>32</v>
      </c>
      <c r="D59" t="s">
        <v>18</v>
      </c>
      <c r="E59">
        <v>6</v>
      </c>
      <c r="F59">
        <v>6</v>
      </c>
      <c r="G59">
        <v>30</v>
      </c>
      <c r="H59">
        <v>8</v>
      </c>
      <c r="I59" t="s">
        <v>19</v>
      </c>
      <c r="J59">
        <v>125</v>
      </c>
      <c r="K59">
        <v>80</v>
      </c>
      <c r="L59">
        <v>5000</v>
      </c>
      <c r="M59" t="s">
        <v>17</v>
      </c>
      <c r="N59" t="str">
        <f>IF(Sleep_health_and_lifestyle_dataset3[[#This Row],[Sleep Duration]]&gt;=8,"Good",IF(Sleep_health_and_lifestyle_dataset3[[#This Row],[Sleep Duration]]&gt;=5,"Average","Poor"))</f>
        <v>Average</v>
      </c>
      <c r="O59" t="str">
        <f>IF(Sleep_health_and_lifestyle_dataset3[[#This Row],[Physical Activity Level]]&gt;=60,"High",IF(Sleep_health_and_lifestyle_dataset3[[#This Row],[Physical Activity Level]]&gt;=40,"Medium","Low"))</f>
        <v>Low</v>
      </c>
    </row>
    <row r="60" spans="1:15" x14ac:dyDescent="0.25">
      <c r="A60">
        <v>59</v>
      </c>
      <c r="B60" t="s">
        <v>13</v>
      </c>
      <c r="C60">
        <v>32</v>
      </c>
      <c r="D60" t="s">
        <v>18</v>
      </c>
      <c r="E60">
        <v>6</v>
      </c>
      <c r="F60">
        <v>6</v>
      </c>
      <c r="G60">
        <v>30</v>
      </c>
      <c r="H60">
        <v>8</v>
      </c>
      <c r="I60" t="s">
        <v>19</v>
      </c>
      <c r="J60">
        <v>125</v>
      </c>
      <c r="K60">
        <v>80</v>
      </c>
      <c r="L60">
        <v>5000</v>
      </c>
      <c r="M60" t="s">
        <v>17</v>
      </c>
      <c r="N60" t="str">
        <f>IF(Sleep_health_and_lifestyle_dataset3[[#This Row],[Sleep Duration]]&gt;=8,"Good",IF(Sleep_health_and_lifestyle_dataset3[[#This Row],[Sleep Duration]]&gt;=5,"Average","Poor"))</f>
        <v>Average</v>
      </c>
      <c r="O60" t="str">
        <f>IF(Sleep_health_and_lifestyle_dataset3[[#This Row],[Physical Activity Level]]&gt;=60,"High",IF(Sleep_health_and_lifestyle_dataset3[[#This Row],[Physical Activity Level]]&gt;=40,"Medium","Low"))</f>
        <v>Low</v>
      </c>
    </row>
    <row r="61" spans="1:15" x14ac:dyDescent="0.25">
      <c r="A61">
        <v>60</v>
      </c>
      <c r="B61" t="s">
        <v>13</v>
      </c>
      <c r="C61">
        <v>32</v>
      </c>
      <c r="D61" t="s">
        <v>18</v>
      </c>
      <c r="E61">
        <v>7.7</v>
      </c>
      <c r="F61">
        <v>7</v>
      </c>
      <c r="G61">
        <v>75</v>
      </c>
      <c r="H61">
        <v>6</v>
      </c>
      <c r="I61" t="s">
        <v>19</v>
      </c>
      <c r="J61">
        <v>120</v>
      </c>
      <c r="K61">
        <v>80</v>
      </c>
      <c r="L61">
        <v>8000</v>
      </c>
      <c r="M61" t="s">
        <v>17</v>
      </c>
      <c r="N61" t="str">
        <f>IF(Sleep_health_and_lifestyle_dataset3[[#This Row],[Sleep Duration]]&gt;=8,"Good",IF(Sleep_health_and_lifestyle_dataset3[[#This Row],[Sleep Duration]]&gt;=5,"Average","Poor"))</f>
        <v>Average</v>
      </c>
      <c r="O61" t="str">
        <f>IF(Sleep_health_and_lifestyle_dataset3[[#This Row],[Physical Activity Level]]&gt;=60,"High",IF(Sleep_health_and_lifestyle_dataset3[[#This Row],[Physical Activity Level]]&gt;=40,"Medium","Low"))</f>
        <v>High</v>
      </c>
    </row>
    <row r="62" spans="1:15" x14ac:dyDescent="0.25">
      <c r="A62">
        <v>61</v>
      </c>
      <c r="B62" t="s">
        <v>13</v>
      </c>
      <c r="C62">
        <v>32</v>
      </c>
      <c r="D62" t="s">
        <v>18</v>
      </c>
      <c r="E62">
        <v>6</v>
      </c>
      <c r="F62">
        <v>6</v>
      </c>
      <c r="G62">
        <v>30</v>
      </c>
      <c r="H62">
        <v>8</v>
      </c>
      <c r="I62" t="s">
        <v>19</v>
      </c>
      <c r="J62">
        <v>125</v>
      </c>
      <c r="K62">
        <v>80</v>
      </c>
      <c r="L62">
        <v>5000</v>
      </c>
      <c r="M62" t="s">
        <v>17</v>
      </c>
      <c r="N62" t="str">
        <f>IF(Sleep_health_and_lifestyle_dataset3[[#This Row],[Sleep Duration]]&gt;=8,"Good",IF(Sleep_health_and_lifestyle_dataset3[[#This Row],[Sleep Duration]]&gt;=5,"Average","Poor"))</f>
        <v>Average</v>
      </c>
      <c r="O62" t="str">
        <f>IF(Sleep_health_and_lifestyle_dataset3[[#This Row],[Physical Activity Level]]&gt;=60,"High",IF(Sleep_health_and_lifestyle_dataset3[[#This Row],[Physical Activity Level]]&gt;=40,"Medium","Low"))</f>
        <v>Low</v>
      </c>
    </row>
    <row r="63" spans="1:15" x14ac:dyDescent="0.25">
      <c r="A63">
        <v>62</v>
      </c>
      <c r="B63" t="s">
        <v>13</v>
      </c>
      <c r="C63">
        <v>32</v>
      </c>
      <c r="D63" t="s">
        <v>18</v>
      </c>
      <c r="E63">
        <v>6</v>
      </c>
      <c r="F63">
        <v>6</v>
      </c>
      <c r="G63">
        <v>30</v>
      </c>
      <c r="H63">
        <v>8</v>
      </c>
      <c r="I63" t="s">
        <v>19</v>
      </c>
      <c r="J63">
        <v>125</v>
      </c>
      <c r="K63">
        <v>80</v>
      </c>
      <c r="L63">
        <v>5000</v>
      </c>
      <c r="M63" t="s">
        <v>17</v>
      </c>
      <c r="N63" t="str">
        <f>IF(Sleep_health_and_lifestyle_dataset3[[#This Row],[Sleep Duration]]&gt;=8,"Good",IF(Sleep_health_and_lifestyle_dataset3[[#This Row],[Sleep Duration]]&gt;=5,"Average","Poor"))</f>
        <v>Average</v>
      </c>
      <c r="O63" t="str">
        <f>IF(Sleep_health_and_lifestyle_dataset3[[#This Row],[Physical Activity Level]]&gt;=60,"High",IF(Sleep_health_and_lifestyle_dataset3[[#This Row],[Physical Activity Level]]&gt;=40,"Medium","Low"))</f>
        <v>Low</v>
      </c>
    </row>
    <row r="64" spans="1:15" x14ac:dyDescent="0.25">
      <c r="A64">
        <v>63</v>
      </c>
      <c r="B64" t="s">
        <v>13</v>
      </c>
      <c r="C64">
        <v>32</v>
      </c>
      <c r="D64" t="s">
        <v>18</v>
      </c>
      <c r="E64">
        <v>6.2</v>
      </c>
      <c r="F64">
        <v>6</v>
      </c>
      <c r="G64">
        <v>30</v>
      </c>
      <c r="H64">
        <v>8</v>
      </c>
      <c r="I64" t="s">
        <v>19</v>
      </c>
      <c r="J64">
        <v>125</v>
      </c>
      <c r="K64">
        <v>80</v>
      </c>
      <c r="L64">
        <v>5000</v>
      </c>
      <c r="M64" t="s">
        <v>17</v>
      </c>
      <c r="N64" t="str">
        <f>IF(Sleep_health_and_lifestyle_dataset3[[#This Row],[Sleep Duration]]&gt;=8,"Good",IF(Sleep_health_and_lifestyle_dataset3[[#This Row],[Sleep Duration]]&gt;=5,"Average","Poor"))</f>
        <v>Average</v>
      </c>
      <c r="O64" t="str">
        <f>IF(Sleep_health_and_lifestyle_dataset3[[#This Row],[Physical Activity Level]]&gt;=60,"High",IF(Sleep_health_and_lifestyle_dataset3[[#This Row],[Physical Activity Level]]&gt;=40,"Medium","Low"))</f>
        <v>Low</v>
      </c>
    </row>
    <row r="65" spans="1:15" x14ac:dyDescent="0.25">
      <c r="A65">
        <v>64</v>
      </c>
      <c r="B65" t="s">
        <v>13</v>
      </c>
      <c r="C65">
        <v>32</v>
      </c>
      <c r="D65" t="s">
        <v>18</v>
      </c>
      <c r="E65">
        <v>6.2</v>
      </c>
      <c r="F65">
        <v>6</v>
      </c>
      <c r="G65">
        <v>30</v>
      </c>
      <c r="H65">
        <v>8</v>
      </c>
      <c r="I65" t="s">
        <v>19</v>
      </c>
      <c r="J65">
        <v>125</v>
      </c>
      <c r="K65">
        <v>80</v>
      </c>
      <c r="L65">
        <v>5000</v>
      </c>
      <c r="M65" t="s">
        <v>17</v>
      </c>
      <c r="N65" t="str">
        <f>IF(Sleep_health_and_lifestyle_dataset3[[#This Row],[Sleep Duration]]&gt;=8,"Good",IF(Sleep_health_and_lifestyle_dataset3[[#This Row],[Sleep Duration]]&gt;=5,"Average","Poor"))</f>
        <v>Average</v>
      </c>
      <c r="O65" t="str">
        <f>IF(Sleep_health_and_lifestyle_dataset3[[#This Row],[Physical Activity Level]]&gt;=60,"High",IF(Sleep_health_and_lifestyle_dataset3[[#This Row],[Physical Activity Level]]&gt;=40,"Medium","Low"))</f>
        <v>Low</v>
      </c>
    </row>
    <row r="66" spans="1:15" x14ac:dyDescent="0.25">
      <c r="A66">
        <v>65</v>
      </c>
      <c r="B66" t="s">
        <v>13</v>
      </c>
      <c r="C66">
        <v>32</v>
      </c>
      <c r="D66" t="s">
        <v>18</v>
      </c>
      <c r="E66">
        <v>6.2</v>
      </c>
      <c r="F66">
        <v>6</v>
      </c>
      <c r="G66">
        <v>30</v>
      </c>
      <c r="H66">
        <v>8</v>
      </c>
      <c r="I66" t="s">
        <v>19</v>
      </c>
      <c r="J66">
        <v>125</v>
      </c>
      <c r="K66">
        <v>80</v>
      </c>
      <c r="L66">
        <v>5000</v>
      </c>
      <c r="M66" t="s">
        <v>17</v>
      </c>
      <c r="N66" t="str">
        <f>IF(Sleep_health_and_lifestyle_dataset3[[#This Row],[Sleep Duration]]&gt;=8,"Good",IF(Sleep_health_and_lifestyle_dataset3[[#This Row],[Sleep Duration]]&gt;=5,"Average","Poor"))</f>
        <v>Average</v>
      </c>
      <c r="O66" t="str">
        <f>IF(Sleep_health_and_lifestyle_dataset3[[#This Row],[Physical Activity Level]]&gt;=60,"High",IF(Sleep_health_and_lifestyle_dataset3[[#This Row],[Physical Activity Level]]&gt;=40,"Medium","Low"))</f>
        <v>Low</v>
      </c>
    </row>
    <row r="67" spans="1:15" x14ac:dyDescent="0.25">
      <c r="A67">
        <v>66</v>
      </c>
      <c r="B67" t="s">
        <v>13</v>
      </c>
      <c r="C67">
        <v>32</v>
      </c>
      <c r="D67" t="s">
        <v>18</v>
      </c>
      <c r="E67">
        <v>6.2</v>
      </c>
      <c r="F67">
        <v>6</v>
      </c>
      <c r="G67">
        <v>30</v>
      </c>
      <c r="H67">
        <v>8</v>
      </c>
      <c r="I67" t="s">
        <v>19</v>
      </c>
      <c r="J67">
        <v>125</v>
      </c>
      <c r="K67">
        <v>80</v>
      </c>
      <c r="L67">
        <v>5000</v>
      </c>
      <c r="M67" t="s">
        <v>17</v>
      </c>
      <c r="N67" t="str">
        <f>IF(Sleep_health_and_lifestyle_dataset3[[#This Row],[Sleep Duration]]&gt;=8,"Good",IF(Sleep_health_and_lifestyle_dataset3[[#This Row],[Sleep Duration]]&gt;=5,"Average","Poor"))</f>
        <v>Average</v>
      </c>
      <c r="O67" t="str">
        <f>IF(Sleep_health_and_lifestyle_dataset3[[#This Row],[Physical Activity Level]]&gt;=60,"High",IF(Sleep_health_and_lifestyle_dataset3[[#This Row],[Physical Activity Level]]&gt;=40,"Medium","Low"))</f>
        <v>Low</v>
      </c>
    </row>
    <row r="68" spans="1:15" x14ac:dyDescent="0.25">
      <c r="A68">
        <v>67</v>
      </c>
      <c r="B68" t="s">
        <v>13</v>
      </c>
      <c r="C68">
        <v>32</v>
      </c>
      <c r="D68" t="s">
        <v>35</v>
      </c>
      <c r="E68">
        <v>7.2</v>
      </c>
      <c r="F68">
        <v>8</v>
      </c>
      <c r="G68">
        <v>50</v>
      </c>
      <c r="H68">
        <v>6</v>
      </c>
      <c r="I68" t="s">
        <v>30</v>
      </c>
      <c r="J68">
        <v>118</v>
      </c>
      <c r="K68">
        <v>76</v>
      </c>
      <c r="L68">
        <v>7000</v>
      </c>
      <c r="M68" t="s">
        <v>17</v>
      </c>
      <c r="N68" t="str">
        <f>IF(Sleep_health_and_lifestyle_dataset3[[#This Row],[Sleep Duration]]&gt;=8,"Good",IF(Sleep_health_and_lifestyle_dataset3[[#This Row],[Sleep Duration]]&gt;=5,"Average","Poor"))</f>
        <v>Average</v>
      </c>
      <c r="O68" t="str">
        <f>IF(Sleep_health_and_lifestyle_dataset3[[#This Row],[Physical Activity Level]]&gt;=60,"High",IF(Sleep_health_and_lifestyle_dataset3[[#This Row],[Physical Activity Level]]&gt;=40,"Medium","Low"))</f>
        <v>Medium</v>
      </c>
    </row>
    <row r="69" spans="1:15" x14ac:dyDescent="0.25">
      <c r="A69">
        <v>68</v>
      </c>
      <c r="B69" t="s">
        <v>13</v>
      </c>
      <c r="C69">
        <v>33</v>
      </c>
      <c r="D69" t="s">
        <v>18</v>
      </c>
      <c r="E69">
        <v>6</v>
      </c>
      <c r="F69">
        <v>6</v>
      </c>
      <c r="G69">
        <v>30</v>
      </c>
      <c r="H69">
        <v>8</v>
      </c>
      <c r="I69" t="s">
        <v>19</v>
      </c>
      <c r="J69">
        <v>125</v>
      </c>
      <c r="K69">
        <v>80</v>
      </c>
      <c r="L69">
        <v>5000</v>
      </c>
      <c r="M69" t="s">
        <v>25</v>
      </c>
      <c r="N69" t="str">
        <f>IF(Sleep_health_and_lifestyle_dataset3[[#This Row],[Sleep Duration]]&gt;=8,"Good",IF(Sleep_health_and_lifestyle_dataset3[[#This Row],[Sleep Duration]]&gt;=5,"Average","Poor"))</f>
        <v>Average</v>
      </c>
      <c r="O69" t="str">
        <f>IF(Sleep_health_and_lifestyle_dataset3[[#This Row],[Physical Activity Level]]&gt;=60,"High",IF(Sleep_health_and_lifestyle_dataset3[[#This Row],[Physical Activity Level]]&gt;=40,"Medium","Low"))</f>
        <v>Low</v>
      </c>
    </row>
    <row r="70" spans="1:15" x14ac:dyDescent="0.25">
      <c r="A70">
        <v>69</v>
      </c>
      <c r="B70" t="s">
        <v>28</v>
      </c>
      <c r="C70">
        <v>33</v>
      </c>
      <c r="D70" t="s">
        <v>37</v>
      </c>
      <c r="E70">
        <v>6.2</v>
      </c>
      <c r="F70">
        <v>6</v>
      </c>
      <c r="G70">
        <v>50</v>
      </c>
      <c r="H70">
        <v>6</v>
      </c>
      <c r="I70" t="s">
        <v>15</v>
      </c>
      <c r="J70">
        <v>128</v>
      </c>
      <c r="K70">
        <v>85</v>
      </c>
      <c r="L70">
        <v>5500</v>
      </c>
      <c r="M70" t="s">
        <v>17</v>
      </c>
      <c r="N70" t="str">
        <f>IF(Sleep_health_and_lifestyle_dataset3[[#This Row],[Sleep Duration]]&gt;=8,"Good",IF(Sleep_health_and_lifestyle_dataset3[[#This Row],[Sleep Duration]]&gt;=5,"Average","Poor"))</f>
        <v>Average</v>
      </c>
      <c r="O70" t="str">
        <f>IF(Sleep_health_and_lifestyle_dataset3[[#This Row],[Physical Activity Level]]&gt;=60,"High",IF(Sleep_health_and_lifestyle_dataset3[[#This Row],[Physical Activity Level]]&gt;=40,"Medium","Low"))</f>
        <v>Medium</v>
      </c>
    </row>
    <row r="71" spans="1:15" x14ac:dyDescent="0.25">
      <c r="A71">
        <v>70</v>
      </c>
      <c r="B71" t="s">
        <v>28</v>
      </c>
      <c r="C71">
        <v>33</v>
      </c>
      <c r="D71" t="s">
        <v>37</v>
      </c>
      <c r="E71">
        <v>6.2</v>
      </c>
      <c r="F71">
        <v>6</v>
      </c>
      <c r="G71">
        <v>50</v>
      </c>
      <c r="H71">
        <v>6</v>
      </c>
      <c r="I71" t="s">
        <v>15</v>
      </c>
      <c r="J71">
        <v>128</v>
      </c>
      <c r="K71">
        <v>85</v>
      </c>
      <c r="L71">
        <v>5500</v>
      </c>
      <c r="M71" t="s">
        <v>17</v>
      </c>
      <c r="N71" t="str">
        <f>IF(Sleep_health_and_lifestyle_dataset3[[#This Row],[Sleep Duration]]&gt;=8,"Good",IF(Sleep_health_and_lifestyle_dataset3[[#This Row],[Sleep Duration]]&gt;=5,"Average","Poor"))</f>
        <v>Average</v>
      </c>
      <c r="O71" t="str">
        <f>IF(Sleep_health_and_lifestyle_dataset3[[#This Row],[Physical Activity Level]]&gt;=60,"High",IF(Sleep_health_and_lifestyle_dataset3[[#This Row],[Physical Activity Level]]&gt;=40,"Medium","Low"))</f>
        <v>Medium</v>
      </c>
    </row>
    <row r="72" spans="1:15" x14ac:dyDescent="0.25">
      <c r="A72">
        <v>71</v>
      </c>
      <c r="B72" t="s">
        <v>13</v>
      </c>
      <c r="C72">
        <v>33</v>
      </c>
      <c r="D72" t="s">
        <v>18</v>
      </c>
      <c r="E72">
        <v>6.1</v>
      </c>
      <c r="F72">
        <v>6</v>
      </c>
      <c r="G72">
        <v>30</v>
      </c>
      <c r="H72">
        <v>8</v>
      </c>
      <c r="I72" t="s">
        <v>19</v>
      </c>
      <c r="J72">
        <v>125</v>
      </c>
      <c r="K72">
        <v>80</v>
      </c>
      <c r="L72">
        <v>5000</v>
      </c>
      <c r="M72" t="s">
        <v>17</v>
      </c>
      <c r="N72" t="str">
        <f>IF(Sleep_health_and_lifestyle_dataset3[[#This Row],[Sleep Duration]]&gt;=8,"Good",IF(Sleep_health_and_lifestyle_dataset3[[#This Row],[Sleep Duration]]&gt;=5,"Average","Poor"))</f>
        <v>Average</v>
      </c>
      <c r="O72" t="str">
        <f>IF(Sleep_health_and_lifestyle_dataset3[[#This Row],[Physical Activity Level]]&gt;=60,"High",IF(Sleep_health_and_lifestyle_dataset3[[#This Row],[Physical Activity Level]]&gt;=40,"Medium","Low"))</f>
        <v>Low</v>
      </c>
    </row>
    <row r="73" spans="1:15" x14ac:dyDescent="0.25">
      <c r="A73">
        <v>72</v>
      </c>
      <c r="B73" t="s">
        <v>13</v>
      </c>
      <c r="C73">
        <v>33</v>
      </c>
      <c r="D73" t="s">
        <v>18</v>
      </c>
      <c r="E73">
        <v>6.1</v>
      </c>
      <c r="F73">
        <v>6</v>
      </c>
      <c r="G73">
        <v>30</v>
      </c>
      <c r="H73">
        <v>8</v>
      </c>
      <c r="I73" t="s">
        <v>19</v>
      </c>
      <c r="J73">
        <v>125</v>
      </c>
      <c r="K73">
        <v>80</v>
      </c>
      <c r="L73">
        <v>5000</v>
      </c>
      <c r="M73" t="s">
        <v>17</v>
      </c>
      <c r="N73" t="str">
        <f>IF(Sleep_health_and_lifestyle_dataset3[[#This Row],[Sleep Duration]]&gt;=8,"Good",IF(Sleep_health_and_lifestyle_dataset3[[#This Row],[Sleep Duration]]&gt;=5,"Average","Poor"))</f>
        <v>Average</v>
      </c>
      <c r="O73" t="str">
        <f>IF(Sleep_health_and_lifestyle_dataset3[[#This Row],[Physical Activity Level]]&gt;=60,"High",IF(Sleep_health_and_lifestyle_dataset3[[#This Row],[Physical Activity Level]]&gt;=40,"Medium","Low"))</f>
        <v>Low</v>
      </c>
    </row>
    <row r="74" spans="1:15" x14ac:dyDescent="0.25">
      <c r="A74">
        <v>73</v>
      </c>
      <c r="B74" t="s">
        <v>13</v>
      </c>
      <c r="C74">
        <v>33</v>
      </c>
      <c r="D74" t="s">
        <v>18</v>
      </c>
      <c r="E74">
        <v>6.1</v>
      </c>
      <c r="F74">
        <v>6</v>
      </c>
      <c r="G74">
        <v>30</v>
      </c>
      <c r="H74">
        <v>8</v>
      </c>
      <c r="I74" t="s">
        <v>19</v>
      </c>
      <c r="J74">
        <v>125</v>
      </c>
      <c r="K74">
        <v>80</v>
      </c>
      <c r="L74">
        <v>5000</v>
      </c>
      <c r="M74" t="s">
        <v>17</v>
      </c>
      <c r="N74" t="str">
        <f>IF(Sleep_health_and_lifestyle_dataset3[[#This Row],[Sleep Duration]]&gt;=8,"Good",IF(Sleep_health_and_lifestyle_dataset3[[#This Row],[Sleep Duration]]&gt;=5,"Average","Poor"))</f>
        <v>Average</v>
      </c>
      <c r="O74" t="str">
        <f>IF(Sleep_health_and_lifestyle_dataset3[[#This Row],[Physical Activity Level]]&gt;=60,"High",IF(Sleep_health_and_lifestyle_dataset3[[#This Row],[Physical Activity Level]]&gt;=40,"Medium","Low"))</f>
        <v>Low</v>
      </c>
    </row>
    <row r="75" spans="1:15" x14ac:dyDescent="0.25">
      <c r="A75">
        <v>74</v>
      </c>
      <c r="B75" t="s">
        <v>13</v>
      </c>
      <c r="C75">
        <v>33</v>
      </c>
      <c r="D75" t="s">
        <v>18</v>
      </c>
      <c r="E75">
        <v>6.1</v>
      </c>
      <c r="F75">
        <v>6</v>
      </c>
      <c r="G75">
        <v>30</v>
      </c>
      <c r="H75">
        <v>8</v>
      </c>
      <c r="I75" t="s">
        <v>19</v>
      </c>
      <c r="J75">
        <v>125</v>
      </c>
      <c r="K75">
        <v>80</v>
      </c>
      <c r="L75">
        <v>5000</v>
      </c>
      <c r="M75" t="s">
        <v>17</v>
      </c>
      <c r="N75" t="str">
        <f>IF(Sleep_health_and_lifestyle_dataset3[[#This Row],[Sleep Duration]]&gt;=8,"Good",IF(Sleep_health_and_lifestyle_dataset3[[#This Row],[Sleep Duration]]&gt;=5,"Average","Poor"))</f>
        <v>Average</v>
      </c>
      <c r="O75" t="str">
        <f>IF(Sleep_health_and_lifestyle_dataset3[[#This Row],[Physical Activity Level]]&gt;=60,"High",IF(Sleep_health_and_lifestyle_dataset3[[#This Row],[Physical Activity Level]]&gt;=40,"Medium","Low"))</f>
        <v>Low</v>
      </c>
    </row>
    <row r="76" spans="1:15" x14ac:dyDescent="0.25">
      <c r="A76">
        <v>75</v>
      </c>
      <c r="B76" t="s">
        <v>13</v>
      </c>
      <c r="C76">
        <v>33</v>
      </c>
      <c r="D76" t="s">
        <v>18</v>
      </c>
      <c r="E76">
        <v>6</v>
      </c>
      <c r="F76">
        <v>6</v>
      </c>
      <c r="G76">
        <v>30</v>
      </c>
      <c r="H76">
        <v>8</v>
      </c>
      <c r="I76" t="s">
        <v>19</v>
      </c>
      <c r="J76">
        <v>125</v>
      </c>
      <c r="K76">
        <v>80</v>
      </c>
      <c r="L76">
        <v>5000</v>
      </c>
      <c r="M76" t="s">
        <v>17</v>
      </c>
      <c r="N76" t="str">
        <f>IF(Sleep_health_and_lifestyle_dataset3[[#This Row],[Sleep Duration]]&gt;=8,"Good",IF(Sleep_health_and_lifestyle_dataset3[[#This Row],[Sleep Duration]]&gt;=5,"Average","Poor"))</f>
        <v>Average</v>
      </c>
      <c r="O76" t="str">
        <f>IF(Sleep_health_and_lifestyle_dataset3[[#This Row],[Physical Activity Level]]&gt;=60,"High",IF(Sleep_health_and_lifestyle_dataset3[[#This Row],[Physical Activity Level]]&gt;=40,"Medium","Low"))</f>
        <v>Low</v>
      </c>
    </row>
    <row r="77" spans="1:15" x14ac:dyDescent="0.25">
      <c r="A77">
        <v>76</v>
      </c>
      <c r="B77" t="s">
        <v>13</v>
      </c>
      <c r="C77">
        <v>33</v>
      </c>
      <c r="D77" t="s">
        <v>18</v>
      </c>
      <c r="E77">
        <v>6</v>
      </c>
      <c r="F77">
        <v>6</v>
      </c>
      <c r="G77">
        <v>30</v>
      </c>
      <c r="H77">
        <v>8</v>
      </c>
      <c r="I77" t="s">
        <v>19</v>
      </c>
      <c r="J77">
        <v>125</v>
      </c>
      <c r="K77">
        <v>80</v>
      </c>
      <c r="L77">
        <v>5000</v>
      </c>
      <c r="M77" t="s">
        <v>17</v>
      </c>
      <c r="N77" t="str">
        <f>IF(Sleep_health_and_lifestyle_dataset3[[#This Row],[Sleep Duration]]&gt;=8,"Good",IF(Sleep_health_and_lifestyle_dataset3[[#This Row],[Sleep Duration]]&gt;=5,"Average","Poor"))</f>
        <v>Average</v>
      </c>
      <c r="O77" t="str">
        <f>IF(Sleep_health_and_lifestyle_dataset3[[#This Row],[Physical Activity Level]]&gt;=60,"High",IF(Sleep_health_and_lifestyle_dataset3[[#This Row],[Physical Activity Level]]&gt;=40,"Medium","Low"))</f>
        <v>Low</v>
      </c>
    </row>
    <row r="78" spans="1:15" x14ac:dyDescent="0.25">
      <c r="A78">
        <v>77</v>
      </c>
      <c r="B78" t="s">
        <v>13</v>
      </c>
      <c r="C78">
        <v>33</v>
      </c>
      <c r="D78" t="s">
        <v>18</v>
      </c>
      <c r="E78">
        <v>6</v>
      </c>
      <c r="F78">
        <v>6</v>
      </c>
      <c r="G78">
        <v>30</v>
      </c>
      <c r="H78">
        <v>8</v>
      </c>
      <c r="I78" t="s">
        <v>19</v>
      </c>
      <c r="J78">
        <v>125</v>
      </c>
      <c r="K78">
        <v>80</v>
      </c>
      <c r="L78">
        <v>5000</v>
      </c>
      <c r="M78" t="s">
        <v>17</v>
      </c>
      <c r="N78" t="str">
        <f>IF(Sleep_health_and_lifestyle_dataset3[[#This Row],[Sleep Duration]]&gt;=8,"Good",IF(Sleep_health_and_lifestyle_dataset3[[#This Row],[Sleep Duration]]&gt;=5,"Average","Poor"))</f>
        <v>Average</v>
      </c>
      <c r="O78" t="str">
        <f>IF(Sleep_health_and_lifestyle_dataset3[[#This Row],[Physical Activity Level]]&gt;=60,"High",IF(Sleep_health_and_lifestyle_dataset3[[#This Row],[Physical Activity Level]]&gt;=40,"Medium","Low"))</f>
        <v>Low</v>
      </c>
    </row>
    <row r="79" spans="1:15" x14ac:dyDescent="0.25">
      <c r="A79">
        <v>78</v>
      </c>
      <c r="B79" t="s">
        <v>13</v>
      </c>
      <c r="C79">
        <v>33</v>
      </c>
      <c r="D79" t="s">
        <v>18</v>
      </c>
      <c r="E79">
        <v>6</v>
      </c>
      <c r="F79">
        <v>6</v>
      </c>
      <c r="G79">
        <v>30</v>
      </c>
      <c r="H79">
        <v>8</v>
      </c>
      <c r="I79" t="s">
        <v>19</v>
      </c>
      <c r="J79">
        <v>125</v>
      </c>
      <c r="K79">
        <v>80</v>
      </c>
      <c r="L79">
        <v>5000</v>
      </c>
      <c r="M79" t="s">
        <v>17</v>
      </c>
      <c r="N79" t="str">
        <f>IF(Sleep_health_and_lifestyle_dataset3[[#This Row],[Sleep Duration]]&gt;=8,"Good",IF(Sleep_health_and_lifestyle_dataset3[[#This Row],[Sleep Duration]]&gt;=5,"Average","Poor"))</f>
        <v>Average</v>
      </c>
      <c r="O79" t="str">
        <f>IF(Sleep_health_and_lifestyle_dataset3[[#This Row],[Physical Activity Level]]&gt;=60,"High",IF(Sleep_health_and_lifestyle_dataset3[[#This Row],[Physical Activity Level]]&gt;=40,"Medium","Low"))</f>
        <v>Low</v>
      </c>
    </row>
    <row r="80" spans="1:15" x14ac:dyDescent="0.25">
      <c r="A80">
        <v>79</v>
      </c>
      <c r="B80" t="s">
        <v>13</v>
      </c>
      <c r="C80">
        <v>33</v>
      </c>
      <c r="D80" t="s">
        <v>18</v>
      </c>
      <c r="E80">
        <v>6</v>
      </c>
      <c r="F80">
        <v>6</v>
      </c>
      <c r="G80">
        <v>30</v>
      </c>
      <c r="H80">
        <v>8</v>
      </c>
      <c r="I80" t="s">
        <v>19</v>
      </c>
      <c r="J80">
        <v>125</v>
      </c>
      <c r="K80">
        <v>80</v>
      </c>
      <c r="L80">
        <v>5000</v>
      </c>
      <c r="M80" t="s">
        <v>17</v>
      </c>
      <c r="N80" t="str">
        <f>IF(Sleep_health_and_lifestyle_dataset3[[#This Row],[Sleep Duration]]&gt;=8,"Good",IF(Sleep_health_and_lifestyle_dataset3[[#This Row],[Sleep Duration]]&gt;=5,"Average","Poor"))</f>
        <v>Average</v>
      </c>
      <c r="O80" t="str">
        <f>IF(Sleep_health_and_lifestyle_dataset3[[#This Row],[Physical Activity Level]]&gt;=60,"High",IF(Sleep_health_and_lifestyle_dataset3[[#This Row],[Physical Activity Level]]&gt;=40,"Medium","Low"))</f>
        <v>Low</v>
      </c>
    </row>
    <row r="81" spans="1:15" x14ac:dyDescent="0.25">
      <c r="A81">
        <v>80</v>
      </c>
      <c r="B81" t="s">
        <v>13</v>
      </c>
      <c r="C81">
        <v>33</v>
      </c>
      <c r="D81" t="s">
        <v>18</v>
      </c>
      <c r="E81">
        <v>6</v>
      </c>
      <c r="F81">
        <v>6</v>
      </c>
      <c r="G81">
        <v>30</v>
      </c>
      <c r="H81">
        <v>8</v>
      </c>
      <c r="I81" t="s">
        <v>19</v>
      </c>
      <c r="J81">
        <v>125</v>
      </c>
      <c r="K81">
        <v>80</v>
      </c>
      <c r="L81">
        <v>5000</v>
      </c>
      <c r="M81" t="s">
        <v>17</v>
      </c>
      <c r="N81" t="str">
        <f>IF(Sleep_health_and_lifestyle_dataset3[[#This Row],[Sleep Duration]]&gt;=8,"Good",IF(Sleep_health_and_lifestyle_dataset3[[#This Row],[Sleep Duration]]&gt;=5,"Average","Poor"))</f>
        <v>Average</v>
      </c>
      <c r="O81" t="str">
        <f>IF(Sleep_health_and_lifestyle_dataset3[[#This Row],[Physical Activity Level]]&gt;=60,"High",IF(Sleep_health_and_lifestyle_dataset3[[#This Row],[Physical Activity Level]]&gt;=40,"Medium","Low"))</f>
        <v>Low</v>
      </c>
    </row>
    <row r="82" spans="1:15" x14ac:dyDescent="0.25">
      <c r="A82">
        <v>81</v>
      </c>
      <c r="B82" t="s">
        <v>28</v>
      </c>
      <c r="C82">
        <v>34</v>
      </c>
      <c r="D82" t="s">
        <v>37</v>
      </c>
      <c r="E82">
        <v>5.8</v>
      </c>
      <c r="F82">
        <v>4</v>
      </c>
      <c r="G82">
        <v>32</v>
      </c>
      <c r="H82">
        <v>8</v>
      </c>
      <c r="I82" t="s">
        <v>15</v>
      </c>
      <c r="J82">
        <v>131</v>
      </c>
      <c r="K82">
        <v>86</v>
      </c>
      <c r="L82">
        <v>5200</v>
      </c>
      <c r="M82" t="s">
        <v>24</v>
      </c>
      <c r="N82" t="str">
        <f>IF(Sleep_health_and_lifestyle_dataset3[[#This Row],[Sleep Duration]]&gt;=8,"Good",IF(Sleep_health_and_lifestyle_dataset3[[#This Row],[Sleep Duration]]&gt;=5,"Average","Poor"))</f>
        <v>Average</v>
      </c>
      <c r="O82" t="str">
        <f>IF(Sleep_health_and_lifestyle_dataset3[[#This Row],[Physical Activity Level]]&gt;=60,"High",IF(Sleep_health_and_lifestyle_dataset3[[#This Row],[Physical Activity Level]]&gt;=40,"Medium","Low"))</f>
        <v>Low</v>
      </c>
    </row>
    <row r="83" spans="1:15" x14ac:dyDescent="0.25">
      <c r="A83">
        <v>82</v>
      </c>
      <c r="B83" t="s">
        <v>28</v>
      </c>
      <c r="C83">
        <v>34</v>
      </c>
      <c r="D83" t="s">
        <v>37</v>
      </c>
      <c r="E83">
        <v>5.8</v>
      </c>
      <c r="F83">
        <v>4</v>
      </c>
      <c r="G83">
        <v>32</v>
      </c>
      <c r="H83">
        <v>8</v>
      </c>
      <c r="I83" t="s">
        <v>15</v>
      </c>
      <c r="J83">
        <v>131</v>
      </c>
      <c r="K83">
        <v>86</v>
      </c>
      <c r="L83">
        <v>5200</v>
      </c>
      <c r="M83" t="s">
        <v>24</v>
      </c>
      <c r="N83" t="str">
        <f>IF(Sleep_health_and_lifestyle_dataset3[[#This Row],[Sleep Duration]]&gt;=8,"Good",IF(Sleep_health_and_lifestyle_dataset3[[#This Row],[Sleep Duration]]&gt;=5,"Average","Poor"))</f>
        <v>Average</v>
      </c>
      <c r="O83" t="str">
        <f>IF(Sleep_health_and_lifestyle_dataset3[[#This Row],[Physical Activity Level]]&gt;=60,"High",IF(Sleep_health_and_lifestyle_dataset3[[#This Row],[Physical Activity Level]]&gt;=40,"Medium","Low"))</f>
        <v>Low</v>
      </c>
    </row>
    <row r="84" spans="1:15" x14ac:dyDescent="0.25">
      <c r="A84">
        <v>83</v>
      </c>
      <c r="B84" t="s">
        <v>13</v>
      </c>
      <c r="C84">
        <v>35</v>
      </c>
      <c r="D84" t="s">
        <v>26</v>
      </c>
      <c r="E84">
        <v>6.7</v>
      </c>
      <c r="F84">
        <v>7</v>
      </c>
      <c r="G84">
        <v>40</v>
      </c>
      <c r="H84">
        <v>5</v>
      </c>
      <c r="I84" t="s">
        <v>15</v>
      </c>
      <c r="J84">
        <v>128</v>
      </c>
      <c r="K84">
        <v>84</v>
      </c>
      <c r="L84">
        <v>5600</v>
      </c>
      <c r="M84" t="s">
        <v>17</v>
      </c>
      <c r="N84" t="str">
        <f>IF(Sleep_health_and_lifestyle_dataset3[[#This Row],[Sleep Duration]]&gt;=8,"Good",IF(Sleep_health_and_lifestyle_dataset3[[#This Row],[Sleep Duration]]&gt;=5,"Average","Poor"))</f>
        <v>Average</v>
      </c>
      <c r="O84" t="str">
        <f>IF(Sleep_health_and_lifestyle_dataset3[[#This Row],[Physical Activity Level]]&gt;=60,"High",IF(Sleep_health_and_lifestyle_dataset3[[#This Row],[Physical Activity Level]]&gt;=40,"Medium","Low"))</f>
        <v>Medium</v>
      </c>
    </row>
    <row r="85" spans="1:15" x14ac:dyDescent="0.25">
      <c r="A85">
        <v>84</v>
      </c>
      <c r="B85" t="s">
        <v>13</v>
      </c>
      <c r="C85">
        <v>35</v>
      </c>
      <c r="D85" t="s">
        <v>26</v>
      </c>
      <c r="E85">
        <v>6.7</v>
      </c>
      <c r="F85">
        <v>7</v>
      </c>
      <c r="G85">
        <v>40</v>
      </c>
      <c r="H85">
        <v>5</v>
      </c>
      <c r="I85" t="s">
        <v>15</v>
      </c>
      <c r="J85">
        <v>128</v>
      </c>
      <c r="K85">
        <v>84</v>
      </c>
      <c r="L85">
        <v>5600</v>
      </c>
      <c r="M85" t="s">
        <v>17</v>
      </c>
      <c r="N85" t="str">
        <f>IF(Sleep_health_and_lifestyle_dataset3[[#This Row],[Sleep Duration]]&gt;=8,"Good",IF(Sleep_health_and_lifestyle_dataset3[[#This Row],[Sleep Duration]]&gt;=5,"Average","Poor"))</f>
        <v>Average</v>
      </c>
      <c r="O85" t="str">
        <f>IF(Sleep_health_and_lifestyle_dataset3[[#This Row],[Physical Activity Level]]&gt;=60,"High",IF(Sleep_health_and_lifestyle_dataset3[[#This Row],[Physical Activity Level]]&gt;=40,"Medium","Low"))</f>
        <v>Medium</v>
      </c>
    </row>
    <row r="86" spans="1:15" x14ac:dyDescent="0.25">
      <c r="A86">
        <v>85</v>
      </c>
      <c r="B86" t="s">
        <v>13</v>
      </c>
      <c r="C86">
        <v>35</v>
      </c>
      <c r="D86" t="s">
        <v>14</v>
      </c>
      <c r="E86">
        <v>7.5</v>
      </c>
      <c r="F86">
        <v>8</v>
      </c>
      <c r="G86">
        <v>60</v>
      </c>
      <c r="H86">
        <v>5</v>
      </c>
      <c r="I86" t="s">
        <v>30</v>
      </c>
      <c r="J86">
        <v>120</v>
      </c>
      <c r="K86">
        <v>80</v>
      </c>
      <c r="L86">
        <v>8000</v>
      </c>
      <c r="M86" t="s">
        <v>17</v>
      </c>
      <c r="N86" t="str">
        <f>IF(Sleep_health_and_lifestyle_dataset3[[#This Row],[Sleep Duration]]&gt;=8,"Good",IF(Sleep_health_and_lifestyle_dataset3[[#This Row],[Sleep Duration]]&gt;=5,"Average","Poor"))</f>
        <v>Average</v>
      </c>
      <c r="O86" t="str">
        <f>IF(Sleep_health_and_lifestyle_dataset3[[#This Row],[Physical Activity Level]]&gt;=60,"High",IF(Sleep_health_and_lifestyle_dataset3[[#This Row],[Physical Activity Level]]&gt;=40,"Medium","Low"))</f>
        <v>High</v>
      </c>
    </row>
    <row r="87" spans="1:15" x14ac:dyDescent="0.25">
      <c r="A87">
        <v>86</v>
      </c>
      <c r="B87" t="s">
        <v>28</v>
      </c>
      <c r="C87">
        <v>35</v>
      </c>
      <c r="D87" t="s">
        <v>35</v>
      </c>
      <c r="E87">
        <v>7.2</v>
      </c>
      <c r="F87">
        <v>8</v>
      </c>
      <c r="G87">
        <v>60</v>
      </c>
      <c r="H87">
        <v>4</v>
      </c>
      <c r="I87" t="s">
        <v>19</v>
      </c>
      <c r="J87">
        <v>115</v>
      </c>
      <c r="K87">
        <v>75</v>
      </c>
      <c r="L87">
        <v>7000</v>
      </c>
      <c r="M87" t="s">
        <v>17</v>
      </c>
      <c r="N87" t="str">
        <f>IF(Sleep_health_and_lifestyle_dataset3[[#This Row],[Sleep Duration]]&gt;=8,"Good",IF(Sleep_health_and_lifestyle_dataset3[[#This Row],[Sleep Duration]]&gt;=5,"Average","Poor"))</f>
        <v>Average</v>
      </c>
      <c r="O87" t="str">
        <f>IF(Sleep_health_and_lifestyle_dataset3[[#This Row],[Physical Activity Level]]&gt;=60,"High",IF(Sleep_health_and_lifestyle_dataset3[[#This Row],[Physical Activity Level]]&gt;=40,"Medium","Low"))</f>
        <v>High</v>
      </c>
    </row>
    <row r="88" spans="1:15" x14ac:dyDescent="0.25">
      <c r="A88">
        <v>87</v>
      </c>
      <c r="B88" t="s">
        <v>13</v>
      </c>
      <c r="C88">
        <v>35</v>
      </c>
      <c r="D88" t="s">
        <v>34</v>
      </c>
      <c r="E88">
        <v>7.2</v>
      </c>
      <c r="F88">
        <v>8</v>
      </c>
      <c r="G88">
        <v>60</v>
      </c>
      <c r="H88">
        <v>4</v>
      </c>
      <c r="I88" t="s">
        <v>19</v>
      </c>
      <c r="J88">
        <v>125</v>
      </c>
      <c r="K88">
        <v>80</v>
      </c>
      <c r="L88">
        <v>5000</v>
      </c>
      <c r="M88" t="s">
        <v>17</v>
      </c>
      <c r="N88" t="str">
        <f>IF(Sleep_health_and_lifestyle_dataset3[[#This Row],[Sleep Duration]]&gt;=8,"Good",IF(Sleep_health_and_lifestyle_dataset3[[#This Row],[Sleep Duration]]&gt;=5,"Average","Poor"))</f>
        <v>Average</v>
      </c>
      <c r="O88" t="str">
        <f>IF(Sleep_health_and_lifestyle_dataset3[[#This Row],[Physical Activity Level]]&gt;=60,"High",IF(Sleep_health_and_lifestyle_dataset3[[#This Row],[Physical Activity Level]]&gt;=40,"Medium","Low"))</f>
        <v>High</v>
      </c>
    </row>
    <row r="89" spans="1:15" x14ac:dyDescent="0.25">
      <c r="A89">
        <v>88</v>
      </c>
      <c r="B89" t="s">
        <v>13</v>
      </c>
      <c r="C89">
        <v>35</v>
      </c>
      <c r="D89" t="s">
        <v>34</v>
      </c>
      <c r="E89">
        <v>7.2</v>
      </c>
      <c r="F89">
        <v>8</v>
      </c>
      <c r="G89">
        <v>60</v>
      </c>
      <c r="H89">
        <v>4</v>
      </c>
      <c r="I89" t="s">
        <v>19</v>
      </c>
      <c r="J89">
        <v>125</v>
      </c>
      <c r="K89">
        <v>80</v>
      </c>
      <c r="L89">
        <v>5000</v>
      </c>
      <c r="M89" t="s">
        <v>17</v>
      </c>
      <c r="N89" t="str">
        <f>IF(Sleep_health_and_lifestyle_dataset3[[#This Row],[Sleep Duration]]&gt;=8,"Good",IF(Sleep_health_and_lifestyle_dataset3[[#This Row],[Sleep Duration]]&gt;=5,"Average","Poor"))</f>
        <v>Average</v>
      </c>
      <c r="O89" t="str">
        <f>IF(Sleep_health_and_lifestyle_dataset3[[#This Row],[Physical Activity Level]]&gt;=60,"High",IF(Sleep_health_and_lifestyle_dataset3[[#This Row],[Physical Activity Level]]&gt;=40,"Medium","Low"))</f>
        <v>High</v>
      </c>
    </row>
    <row r="90" spans="1:15" x14ac:dyDescent="0.25">
      <c r="A90">
        <v>89</v>
      </c>
      <c r="B90" t="s">
        <v>13</v>
      </c>
      <c r="C90">
        <v>35</v>
      </c>
      <c r="D90" t="s">
        <v>34</v>
      </c>
      <c r="E90">
        <v>7.3</v>
      </c>
      <c r="F90">
        <v>8</v>
      </c>
      <c r="G90">
        <v>60</v>
      </c>
      <c r="H90">
        <v>4</v>
      </c>
      <c r="I90" t="s">
        <v>19</v>
      </c>
      <c r="J90">
        <v>125</v>
      </c>
      <c r="K90">
        <v>80</v>
      </c>
      <c r="L90">
        <v>5000</v>
      </c>
      <c r="M90" t="s">
        <v>17</v>
      </c>
      <c r="N90" t="str">
        <f>IF(Sleep_health_and_lifestyle_dataset3[[#This Row],[Sleep Duration]]&gt;=8,"Good",IF(Sleep_health_and_lifestyle_dataset3[[#This Row],[Sleep Duration]]&gt;=5,"Average","Poor"))</f>
        <v>Average</v>
      </c>
      <c r="O90" t="str">
        <f>IF(Sleep_health_and_lifestyle_dataset3[[#This Row],[Physical Activity Level]]&gt;=60,"High",IF(Sleep_health_and_lifestyle_dataset3[[#This Row],[Physical Activity Level]]&gt;=40,"Medium","Low"))</f>
        <v>High</v>
      </c>
    </row>
    <row r="91" spans="1:15" x14ac:dyDescent="0.25">
      <c r="A91">
        <v>90</v>
      </c>
      <c r="B91" t="s">
        <v>13</v>
      </c>
      <c r="C91">
        <v>35</v>
      </c>
      <c r="D91" t="s">
        <v>34</v>
      </c>
      <c r="E91">
        <v>7.3</v>
      </c>
      <c r="F91">
        <v>8</v>
      </c>
      <c r="G91">
        <v>60</v>
      </c>
      <c r="H91">
        <v>4</v>
      </c>
      <c r="I91" t="s">
        <v>19</v>
      </c>
      <c r="J91">
        <v>125</v>
      </c>
      <c r="K91">
        <v>80</v>
      </c>
      <c r="L91">
        <v>5000</v>
      </c>
      <c r="M91" t="s">
        <v>17</v>
      </c>
      <c r="N91" t="str">
        <f>IF(Sleep_health_and_lifestyle_dataset3[[#This Row],[Sleep Duration]]&gt;=8,"Good",IF(Sleep_health_and_lifestyle_dataset3[[#This Row],[Sleep Duration]]&gt;=5,"Average","Poor"))</f>
        <v>Average</v>
      </c>
      <c r="O91" t="str">
        <f>IF(Sleep_health_and_lifestyle_dataset3[[#This Row],[Physical Activity Level]]&gt;=60,"High",IF(Sleep_health_and_lifestyle_dataset3[[#This Row],[Physical Activity Level]]&gt;=40,"Medium","Low"))</f>
        <v>High</v>
      </c>
    </row>
    <row r="92" spans="1:15" x14ac:dyDescent="0.25">
      <c r="A92">
        <v>91</v>
      </c>
      <c r="B92" t="s">
        <v>13</v>
      </c>
      <c r="C92">
        <v>35</v>
      </c>
      <c r="D92" t="s">
        <v>34</v>
      </c>
      <c r="E92">
        <v>7.3</v>
      </c>
      <c r="F92">
        <v>8</v>
      </c>
      <c r="G92">
        <v>60</v>
      </c>
      <c r="H92">
        <v>4</v>
      </c>
      <c r="I92" t="s">
        <v>19</v>
      </c>
      <c r="J92">
        <v>125</v>
      </c>
      <c r="K92">
        <v>80</v>
      </c>
      <c r="L92">
        <v>5000</v>
      </c>
      <c r="M92" t="s">
        <v>17</v>
      </c>
      <c r="N92" t="str">
        <f>IF(Sleep_health_and_lifestyle_dataset3[[#This Row],[Sleep Duration]]&gt;=8,"Good",IF(Sleep_health_and_lifestyle_dataset3[[#This Row],[Sleep Duration]]&gt;=5,"Average","Poor"))</f>
        <v>Average</v>
      </c>
      <c r="O92" t="str">
        <f>IF(Sleep_health_and_lifestyle_dataset3[[#This Row],[Physical Activity Level]]&gt;=60,"High",IF(Sleep_health_and_lifestyle_dataset3[[#This Row],[Physical Activity Level]]&gt;=40,"Medium","Low"))</f>
        <v>High</v>
      </c>
    </row>
    <row r="93" spans="1:15" x14ac:dyDescent="0.25">
      <c r="A93">
        <v>92</v>
      </c>
      <c r="B93" t="s">
        <v>13</v>
      </c>
      <c r="C93">
        <v>35</v>
      </c>
      <c r="D93" t="s">
        <v>34</v>
      </c>
      <c r="E93">
        <v>7.3</v>
      </c>
      <c r="F93">
        <v>8</v>
      </c>
      <c r="G93">
        <v>60</v>
      </c>
      <c r="H93">
        <v>4</v>
      </c>
      <c r="I93" t="s">
        <v>19</v>
      </c>
      <c r="J93">
        <v>125</v>
      </c>
      <c r="K93">
        <v>80</v>
      </c>
      <c r="L93">
        <v>5000</v>
      </c>
      <c r="M93" t="s">
        <v>17</v>
      </c>
      <c r="N93" t="str">
        <f>IF(Sleep_health_and_lifestyle_dataset3[[#This Row],[Sleep Duration]]&gt;=8,"Good",IF(Sleep_health_and_lifestyle_dataset3[[#This Row],[Sleep Duration]]&gt;=5,"Average","Poor"))</f>
        <v>Average</v>
      </c>
      <c r="O93" t="str">
        <f>IF(Sleep_health_and_lifestyle_dataset3[[#This Row],[Physical Activity Level]]&gt;=60,"High",IF(Sleep_health_and_lifestyle_dataset3[[#This Row],[Physical Activity Level]]&gt;=40,"Medium","Low"))</f>
        <v>High</v>
      </c>
    </row>
    <row r="94" spans="1:15" x14ac:dyDescent="0.25">
      <c r="A94">
        <v>93</v>
      </c>
      <c r="B94" t="s">
        <v>13</v>
      </c>
      <c r="C94">
        <v>35</v>
      </c>
      <c r="D94" t="s">
        <v>14</v>
      </c>
      <c r="E94">
        <v>7.5</v>
      </c>
      <c r="F94">
        <v>8</v>
      </c>
      <c r="G94">
        <v>60</v>
      </c>
      <c r="H94">
        <v>5</v>
      </c>
      <c r="I94" t="s">
        <v>30</v>
      </c>
      <c r="J94">
        <v>120</v>
      </c>
      <c r="K94">
        <v>80</v>
      </c>
      <c r="L94">
        <v>8000</v>
      </c>
      <c r="M94" t="s">
        <v>17</v>
      </c>
      <c r="N94" t="str">
        <f>IF(Sleep_health_and_lifestyle_dataset3[[#This Row],[Sleep Duration]]&gt;=8,"Good",IF(Sleep_health_and_lifestyle_dataset3[[#This Row],[Sleep Duration]]&gt;=5,"Average","Poor"))</f>
        <v>Average</v>
      </c>
      <c r="O94" t="str">
        <f>IF(Sleep_health_and_lifestyle_dataset3[[#This Row],[Physical Activity Level]]&gt;=60,"High",IF(Sleep_health_and_lifestyle_dataset3[[#This Row],[Physical Activity Level]]&gt;=40,"Medium","Low"))</f>
        <v>High</v>
      </c>
    </row>
    <row r="95" spans="1:15" x14ac:dyDescent="0.25">
      <c r="A95">
        <v>94</v>
      </c>
      <c r="B95" t="s">
        <v>13</v>
      </c>
      <c r="C95">
        <v>35</v>
      </c>
      <c r="D95" t="s">
        <v>42</v>
      </c>
      <c r="E95">
        <v>7.4</v>
      </c>
      <c r="F95">
        <v>7</v>
      </c>
      <c r="G95">
        <v>60</v>
      </c>
      <c r="H95">
        <v>5</v>
      </c>
      <c r="I95" t="s">
        <v>22</v>
      </c>
      <c r="J95">
        <v>135</v>
      </c>
      <c r="K95">
        <v>88</v>
      </c>
      <c r="L95">
        <v>3300</v>
      </c>
      <c r="M95" t="s">
        <v>24</v>
      </c>
      <c r="N95" t="str">
        <f>IF(Sleep_health_and_lifestyle_dataset3[[#This Row],[Sleep Duration]]&gt;=8,"Good",IF(Sleep_health_and_lifestyle_dataset3[[#This Row],[Sleep Duration]]&gt;=5,"Average","Poor"))</f>
        <v>Average</v>
      </c>
      <c r="O95" t="str">
        <f>IF(Sleep_health_and_lifestyle_dataset3[[#This Row],[Physical Activity Level]]&gt;=60,"High",IF(Sleep_health_and_lifestyle_dataset3[[#This Row],[Physical Activity Level]]&gt;=40,"Medium","Low"))</f>
        <v>High</v>
      </c>
    </row>
    <row r="96" spans="1:15" x14ac:dyDescent="0.25">
      <c r="A96">
        <v>95</v>
      </c>
      <c r="B96" t="s">
        <v>28</v>
      </c>
      <c r="C96">
        <v>36</v>
      </c>
      <c r="D96" t="s">
        <v>35</v>
      </c>
      <c r="E96">
        <v>7.2</v>
      </c>
      <c r="F96">
        <v>8</v>
      </c>
      <c r="G96">
        <v>60</v>
      </c>
      <c r="H96">
        <v>4</v>
      </c>
      <c r="I96" t="s">
        <v>19</v>
      </c>
      <c r="J96">
        <v>115</v>
      </c>
      <c r="K96">
        <v>75</v>
      </c>
      <c r="L96">
        <v>7000</v>
      </c>
      <c r="M96" t="s">
        <v>25</v>
      </c>
      <c r="N96" t="str">
        <f>IF(Sleep_health_and_lifestyle_dataset3[[#This Row],[Sleep Duration]]&gt;=8,"Good",IF(Sleep_health_and_lifestyle_dataset3[[#This Row],[Sleep Duration]]&gt;=5,"Average","Poor"))</f>
        <v>Average</v>
      </c>
      <c r="O96" t="str">
        <f>IF(Sleep_health_and_lifestyle_dataset3[[#This Row],[Physical Activity Level]]&gt;=60,"High",IF(Sleep_health_and_lifestyle_dataset3[[#This Row],[Physical Activity Level]]&gt;=40,"Medium","Low"))</f>
        <v>High</v>
      </c>
    </row>
    <row r="97" spans="1:15" x14ac:dyDescent="0.25">
      <c r="A97">
        <v>96</v>
      </c>
      <c r="B97" t="s">
        <v>28</v>
      </c>
      <c r="C97">
        <v>36</v>
      </c>
      <c r="D97" t="s">
        <v>35</v>
      </c>
      <c r="E97">
        <v>7.1</v>
      </c>
      <c r="F97">
        <v>8</v>
      </c>
      <c r="G97">
        <v>60</v>
      </c>
      <c r="H97">
        <v>4</v>
      </c>
      <c r="I97" t="s">
        <v>19</v>
      </c>
      <c r="J97">
        <v>115</v>
      </c>
      <c r="K97">
        <v>75</v>
      </c>
      <c r="L97">
        <v>7000</v>
      </c>
      <c r="M97" t="s">
        <v>17</v>
      </c>
      <c r="N97" t="str">
        <f>IF(Sleep_health_and_lifestyle_dataset3[[#This Row],[Sleep Duration]]&gt;=8,"Good",IF(Sleep_health_and_lifestyle_dataset3[[#This Row],[Sleep Duration]]&gt;=5,"Average","Poor"))</f>
        <v>Average</v>
      </c>
      <c r="O97" t="str">
        <f>IF(Sleep_health_and_lifestyle_dataset3[[#This Row],[Physical Activity Level]]&gt;=60,"High",IF(Sleep_health_and_lifestyle_dataset3[[#This Row],[Physical Activity Level]]&gt;=40,"Medium","Low"))</f>
        <v>High</v>
      </c>
    </row>
    <row r="98" spans="1:15" x14ac:dyDescent="0.25">
      <c r="A98">
        <v>97</v>
      </c>
      <c r="B98" t="s">
        <v>28</v>
      </c>
      <c r="C98">
        <v>36</v>
      </c>
      <c r="D98" t="s">
        <v>35</v>
      </c>
      <c r="E98">
        <v>7.2</v>
      </c>
      <c r="F98">
        <v>8</v>
      </c>
      <c r="G98">
        <v>60</v>
      </c>
      <c r="H98">
        <v>4</v>
      </c>
      <c r="I98" t="s">
        <v>19</v>
      </c>
      <c r="J98">
        <v>115</v>
      </c>
      <c r="K98">
        <v>75</v>
      </c>
      <c r="L98">
        <v>7000</v>
      </c>
      <c r="M98" t="s">
        <v>17</v>
      </c>
      <c r="N98" t="str">
        <f>IF(Sleep_health_and_lifestyle_dataset3[[#This Row],[Sleep Duration]]&gt;=8,"Good",IF(Sleep_health_and_lifestyle_dataset3[[#This Row],[Sleep Duration]]&gt;=5,"Average","Poor"))</f>
        <v>Average</v>
      </c>
      <c r="O98" t="str">
        <f>IF(Sleep_health_and_lifestyle_dataset3[[#This Row],[Physical Activity Level]]&gt;=60,"High",IF(Sleep_health_and_lifestyle_dataset3[[#This Row],[Physical Activity Level]]&gt;=40,"Medium","Low"))</f>
        <v>High</v>
      </c>
    </row>
    <row r="99" spans="1:15" x14ac:dyDescent="0.25">
      <c r="A99">
        <v>98</v>
      </c>
      <c r="B99" t="s">
        <v>28</v>
      </c>
      <c r="C99">
        <v>36</v>
      </c>
      <c r="D99" t="s">
        <v>35</v>
      </c>
      <c r="E99">
        <v>7.1</v>
      </c>
      <c r="F99">
        <v>8</v>
      </c>
      <c r="G99">
        <v>60</v>
      </c>
      <c r="H99">
        <v>4</v>
      </c>
      <c r="I99" t="s">
        <v>19</v>
      </c>
      <c r="J99">
        <v>115</v>
      </c>
      <c r="K99">
        <v>75</v>
      </c>
      <c r="L99">
        <v>7000</v>
      </c>
      <c r="M99" t="s">
        <v>17</v>
      </c>
      <c r="N99" t="str">
        <f>IF(Sleep_health_and_lifestyle_dataset3[[#This Row],[Sleep Duration]]&gt;=8,"Good",IF(Sleep_health_and_lifestyle_dataset3[[#This Row],[Sleep Duration]]&gt;=5,"Average","Poor"))</f>
        <v>Average</v>
      </c>
      <c r="O99" t="str">
        <f>IF(Sleep_health_and_lifestyle_dataset3[[#This Row],[Physical Activity Level]]&gt;=60,"High",IF(Sleep_health_and_lifestyle_dataset3[[#This Row],[Physical Activity Level]]&gt;=40,"Medium","Low"))</f>
        <v>High</v>
      </c>
    </row>
    <row r="100" spans="1:15" x14ac:dyDescent="0.25">
      <c r="A100">
        <v>99</v>
      </c>
      <c r="B100" t="s">
        <v>28</v>
      </c>
      <c r="C100">
        <v>36</v>
      </c>
      <c r="D100" t="s">
        <v>26</v>
      </c>
      <c r="E100">
        <v>7.1</v>
      </c>
      <c r="F100">
        <v>8</v>
      </c>
      <c r="G100">
        <v>60</v>
      </c>
      <c r="H100">
        <v>4</v>
      </c>
      <c r="I100" t="s">
        <v>19</v>
      </c>
      <c r="J100">
        <v>115</v>
      </c>
      <c r="K100">
        <v>75</v>
      </c>
      <c r="L100">
        <v>7000</v>
      </c>
      <c r="M100" t="s">
        <v>17</v>
      </c>
      <c r="N100" t="str">
        <f>IF(Sleep_health_and_lifestyle_dataset3[[#This Row],[Sleep Duration]]&gt;=8,"Good",IF(Sleep_health_and_lifestyle_dataset3[[#This Row],[Sleep Duration]]&gt;=5,"Average","Poor"))</f>
        <v>Average</v>
      </c>
      <c r="O100" t="str">
        <f>IF(Sleep_health_and_lifestyle_dataset3[[#This Row],[Physical Activity Level]]&gt;=60,"High",IF(Sleep_health_and_lifestyle_dataset3[[#This Row],[Physical Activity Level]]&gt;=40,"Medium","Low"))</f>
        <v>High</v>
      </c>
    </row>
    <row r="101" spans="1:15" x14ac:dyDescent="0.25">
      <c r="A101">
        <v>100</v>
      </c>
      <c r="B101" t="s">
        <v>28</v>
      </c>
      <c r="C101">
        <v>36</v>
      </c>
      <c r="D101" t="s">
        <v>26</v>
      </c>
      <c r="E101">
        <v>7.1</v>
      </c>
      <c r="F101">
        <v>8</v>
      </c>
      <c r="G101">
        <v>60</v>
      </c>
      <c r="H101">
        <v>4</v>
      </c>
      <c r="I101" t="s">
        <v>19</v>
      </c>
      <c r="J101">
        <v>115</v>
      </c>
      <c r="K101">
        <v>75</v>
      </c>
      <c r="L101">
        <v>7000</v>
      </c>
      <c r="M101" t="s">
        <v>17</v>
      </c>
      <c r="N101" t="str">
        <f>IF(Sleep_health_and_lifestyle_dataset3[[#This Row],[Sleep Duration]]&gt;=8,"Good",IF(Sleep_health_and_lifestyle_dataset3[[#This Row],[Sleep Duration]]&gt;=5,"Average","Poor"))</f>
        <v>Average</v>
      </c>
      <c r="O101" t="str">
        <f>IF(Sleep_health_and_lifestyle_dataset3[[#This Row],[Physical Activity Level]]&gt;=60,"High",IF(Sleep_health_and_lifestyle_dataset3[[#This Row],[Physical Activity Level]]&gt;=40,"Medium","Low"))</f>
        <v>High</v>
      </c>
    </row>
    <row r="102" spans="1:15" x14ac:dyDescent="0.25">
      <c r="A102">
        <v>101</v>
      </c>
      <c r="B102" t="s">
        <v>28</v>
      </c>
      <c r="C102">
        <v>36</v>
      </c>
      <c r="D102" t="s">
        <v>26</v>
      </c>
      <c r="E102">
        <v>7.2</v>
      </c>
      <c r="F102">
        <v>8</v>
      </c>
      <c r="G102">
        <v>60</v>
      </c>
      <c r="H102">
        <v>4</v>
      </c>
      <c r="I102" t="s">
        <v>19</v>
      </c>
      <c r="J102">
        <v>115</v>
      </c>
      <c r="K102">
        <v>75</v>
      </c>
      <c r="L102">
        <v>7000</v>
      </c>
      <c r="M102" t="s">
        <v>17</v>
      </c>
      <c r="N102" t="str">
        <f>IF(Sleep_health_and_lifestyle_dataset3[[#This Row],[Sleep Duration]]&gt;=8,"Good",IF(Sleep_health_and_lifestyle_dataset3[[#This Row],[Sleep Duration]]&gt;=5,"Average","Poor"))</f>
        <v>Average</v>
      </c>
      <c r="O102" t="str">
        <f>IF(Sleep_health_and_lifestyle_dataset3[[#This Row],[Physical Activity Level]]&gt;=60,"High",IF(Sleep_health_and_lifestyle_dataset3[[#This Row],[Physical Activity Level]]&gt;=40,"Medium","Low"))</f>
        <v>High</v>
      </c>
    </row>
    <row r="103" spans="1:15" x14ac:dyDescent="0.25">
      <c r="A103">
        <v>102</v>
      </c>
      <c r="B103" t="s">
        <v>28</v>
      </c>
      <c r="C103">
        <v>36</v>
      </c>
      <c r="D103" t="s">
        <v>26</v>
      </c>
      <c r="E103">
        <v>7.2</v>
      </c>
      <c r="F103">
        <v>8</v>
      </c>
      <c r="G103">
        <v>60</v>
      </c>
      <c r="H103">
        <v>4</v>
      </c>
      <c r="I103" t="s">
        <v>19</v>
      </c>
      <c r="J103">
        <v>115</v>
      </c>
      <c r="K103">
        <v>75</v>
      </c>
      <c r="L103">
        <v>7000</v>
      </c>
      <c r="M103" t="s">
        <v>17</v>
      </c>
      <c r="N103" t="str">
        <f>IF(Sleep_health_and_lifestyle_dataset3[[#This Row],[Sleep Duration]]&gt;=8,"Good",IF(Sleep_health_and_lifestyle_dataset3[[#This Row],[Sleep Duration]]&gt;=5,"Average","Poor"))</f>
        <v>Average</v>
      </c>
      <c r="O103" t="str">
        <f>IF(Sleep_health_and_lifestyle_dataset3[[#This Row],[Physical Activity Level]]&gt;=60,"High",IF(Sleep_health_and_lifestyle_dataset3[[#This Row],[Physical Activity Level]]&gt;=40,"Medium","Low"))</f>
        <v>High</v>
      </c>
    </row>
    <row r="104" spans="1:15" x14ac:dyDescent="0.25">
      <c r="A104">
        <v>103</v>
      </c>
      <c r="B104" t="s">
        <v>28</v>
      </c>
      <c r="C104">
        <v>36</v>
      </c>
      <c r="D104" t="s">
        <v>26</v>
      </c>
      <c r="E104">
        <v>7.2</v>
      </c>
      <c r="F104">
        <v>8</v>
      </c>
      <c r="G104">
        <v>60</v>
      </c>
      <c r="H104">
        <v>4</v>
      </c>
      <c r="I104" t="s">
        <v>19</v>
      </c>
      <c r="J104">
        <v>115</v>
      </c>
      <c r="K104">
        <v>75</v>
      </c>
      <c r="L104">
        <v>7000</v>
      </c>
      <c r="M104" t="s">
        <v>17</v>
      </c>
      <c r="N104" t="str">
        <f>IF(Sleep_health_and_lifestyle_dataset3[[#This Row],[Sleep Duration]]&gt;=8,"Good",IF(Sleep_health_and_lifestyle_dataset3[[#This Row],[Sleep Duration]]&gt;=5,"Average","Poor"))</f>
        <v>Average</v>
      </c>
      <c r="O104" t="str">
        <f>IF(Sleep_health_and_lifestyle_dataset3[[#This Row],[Physical Activity Level]]&gt;=60,"High",IF(Sleep_health_and_lifestyle_dataset3[[#This Row],[Physical Activity Level]]&gt;=40,"Medium","Low"))</f>
        <v>High</v>
      </c>
    </row>
    <row r="105" spans="1:15" x14ac:dyDescent="0.25">
      <c r="A105">
        <v>104</v>
      </c>
      <c r="B105" t="s">
        <v>13</v>
      </c>
      <c r="C105">
        <v>36</v>
      </c>
      <c r="D105" t="s">
        <v>26</v>
      </c>
      <c r="E105">
        <v>6.6</v>
      </c>
      <c r="F105">
        <v>5</v>
      </c>
      <c r="G105">
        <v>35</v>
      </c>
      <c r="H105">
        <v>7</v>
      </c>
      <c r="I105" t="s">
        <v>15</v>
      </c>
      <c r="J105">
        <v>129</v>
      </c>
      <c r="K105">
        <v>84</v>
      </c>
      <c r="L105">
        <v>4800</v>
      </c>
      <c r="M105" t="s">
        <v>24</v>
      </c>
      <c r="N105" t="str">
        <f>IF(Sleep_health_and_lifestyle_dataset3[[#This Row],[Sleep Duration]]&gt;=8,"Good",IF(Sleep_health_and_lifestyle_dataset3[[#This Row],[Sleep Duration]]&gt;=5,"Average","Poor"))</f>
        <v>Average</v>
      </c>
      <c r="O105" t="str">
        <f>IF(Sleep_health_and_lifestyle_dataset3[[#This Row],[Physical Activity Level]]&gt;=60,"High",IF(Sleep_health_and_lifestyle_dataset3[[#This Row],[Physical Activity Level]]&gt;=40,"Medium","Low"))</f>
        <v>Low</v>
      </c>
    </row>
    <row r="106" spans="1:15" x14ac:dyDescent="0.25">
      <c r="A106">
        <v>105</v>
      </c>
      <c r="B106" t="s">
        <v>28</v>
      </c>
      <c r="C106">
        <v>36</v>
      </c>
      <c r="D106" t="s">
        <v>26</v>
      </c>
      <c r="E106">
        <v>7.2</v>
      </c>
      <c r="F106">
        <v>8</v>
      </c>
      <c r="G106">
        <v>60</v>
      </c>
      <c r="H106">
        <v>4</v>
      </c>
      <c r="I106" t="s">
        <v>19</v>
      </c>
      <c r="J106">
        <v>115</v>
      </c>
      <c r="K106">
        <v>75</v>
      </c>
      <c r="L106">
        <v>7000</v>
      </c>
      <c r="M106" t="s">
        <v>24</v>
      </c>
      <c r="N106" t="str">
        <f>IF(Sleep_health_and_lifestyle_dataset3[[#This Row],[Sleep Duration]]&gt;=8,"Good",IF(Sleep_health_and_lifestyle_dataset3[[#This Row],[Sleep Duration]]&gt;=5,"Average","Poor"))</f>
        <v>Average</v>
      </c>
      <c r="O106" t="str">
        <f>IF(Sleep_health_and_lifestyle_dataset3[[#This Row],[Physical Activity Level]]&gt;=60,"High",IF(Sleep_health_and_lifestyle_dataset3[[#This Row],[Physical Activity Level]]&gt;=40,"Medium","Low"))</f>
        <v>High</v>
      </c>
    </row>
    <row r="107" spans="1:15" x14ac:dyDescent="0.25">
      <c r="A107">
        <v>106</v>
      </c>
      <c r="B107" t="s">
        <v>13</v>
      </c>
      <c r="C107">
        <v>36</v>
      </c>
      <c r="D107" t="s">
        <v>26</v>
      </c>
      <c r="E107">
        <v>6.6</v>
      </c>
      <c r="F107">
        <v>5</v>
      </c>
      <c r="G107">
        <v>35</v>
      </c>
      <c r="H107">
        <v>7</v>
      </c>
      <c r="I107" t="s">
        <v>15</v>
      </c>
      <c r="J107">
        <v>129</v>
      </c>
      <c r="K107">
        <v>84</v>
      </c>
      <c r="L107">
        <v>4800</v>
      </c>
      <c r="M107" t="s">
        <v>25</v>
      </c>
      <c r="N107" t="str">
        <f>IF(Sleep_health_and_lifestyle_dataset3[[#This Row],[Sleep Duration]]&gt;=8,"Good",IF(Sleep_health_and_lifestyle_dataset3[[#This Row],[Sleep Duration]]&gt;=5,"Average","Poor"))</f>
        <v>Average</v>
      </c>
      <c r="O107" t="str">
        <f>IF(Sleep_health_and_lifestyle_dataset3[[#This Row],[Physical Activity Level]]&gt;=60,"High",IF(Sleep_health_and_lifestyle_dataset3[[#This Row],[Physical Activity Level]]&gt;=40,"Medium","Low"))</f>
        <v>Low</v>
      </c>
    </row>
    <row r="108" spans="1:15" x14ac:dyDescent="0.25">
      <c r="A108">
        <v>107</v>
      </c>
      <c r="B108" t="s">
        <v>28</v>
      </c>
      <c r="C108">
        <v>37</v>
      </c>
      <c r="D108" t="s">
        <v>29</v>
      </c>
      <c r="E108">
        <v>6.1</v>
      </c>
      <c r="F108">
        <v>6</v>
      </c>
      <c r="G108">
        <v>42</v>
      </c>
      <c r="H108">
        <v>6</v>
      </c>
      <c r="I108" t="s">
        <v>15</v>
      </c>
      <c r="J108">
        <v>126</v>
      </c>
      <c r="K108">
        <v>83</v>
      </c>
      <c r="L108">
        <v>4200</v>
      </c>
      <c r="M108" t="s">
        <v>17</v>
      </c>
      <c r="N108" t="str">
        <f>IF(Sleep_health_and_lifestyle_dataset3[[#This Row],[Sleep Duration]]&gt;=8,"Good",IF(Sleep_health_and_lifestyle_dataset3[[#This Row],[Sleep Duration]]&gt;=5,"Average","Poor"))</f>
        <v>Average</v>
      </c>
      <c r="O108" t="str">
        <f>IF(Sleep_health_and_lifestyle_dataset3[[#This Row],[Physical Activity Level]]&gt;=60,"High",IF(Sleep_health_and_lifestyle_dataset3[[#This Row],[Physical Activity Level]]&gt;=40,"Medium","Low"))</f>
        <v>Medium</v>
      </c>
    </row>
    <row r="109" spans="1:15" x14ac:dyDescent="0.25">
      <c r="A109">
        <v>108</v>
      </c>
      <c r="B109" t="s">
        <v>13</v>
      </c>
      <c r="C109">
        <v>37</v>
      </c>
      <c r="D109" t="s">
        <v>34</v>
      </c>
      <c r="E109">
        <v>7.8</v>
      </c>
      <c r="F109">
        <v>8</v>
      </c>
      <c r="G109">
        <v>70</v>
      </c>
      <c r="H109">
        <v>4</v>
      </c>
      <c r="I109" t="s">
        <v>30</v>
      </c>
      <c r="J109">
        <v>120</v>
      </c>
      <c r="K109">
        <v>80</v>
      </c>
      <c r="L109">
        <v>7000</v>
      </c>
      <c r="M109" t="s">
        <v>17</v>
      </c>
      <c r="N109" t="str">
        <f>IF(Sleep_health_and_lifestyle_dataset3[[#This Row],[Sleep Duration]]&gt;=8,"Good",IF(Sleep_health_and_lifestyle_dataset3[[#This Row],[Sleep Duration]]&gt;=5,"Average","Poor"))</f>
        <v>Average</v>
      </c>
      <c r="O109" t="str">
        <f>IF(Sleep_health_and_lifestyle_dataset3[[#This Row],[Physical Activity Level]]&gt;=60,"High",IF(Sleep_health_and_lifestyle_dataset3[[#This Row],[Physical Activity Level]]&gt;=40,"Medium","Low"))</f>
        <v>High</v>
      </c>
    </row>
    <row r="110" spans="1:15" x14ac:dyDescent="0.25">
      <c r="A110">
        <v>109</v>
      </c>
      <c r="B110" t="s">
        <v>13</v>
      </c>
      <c r="C110">
        <v>37</v>
      </c>
      <c r="D110" t="s">
        <v>34</v>
      </c>
      <c r="E110">
        <v>7.8</v>
      </c>
      <c r="F110">
        <v>8</v>
      </c>
      <c r="G110">
        <v>70</v>
      </c>
      <c r="H110">
        <v>4</v>
      </c>
      <c r="I110" t="s">
        <v>30</v>
      </c>
      <c r="J110">
        <v>120</v>
      </c>
      <c r="K110">
        <v>80</v>
      </c>
      <c r="L110">
        <v>7000</v>
      </c>
      <c r="M110" t="s">
        <v>17</v>
      </c>
      <c r="N110" t="str">
        <f>IF(Sleep_health_and_lifestyle_dataset3[[#This Row],[Sleep Duration]]&gt;=8,"Good",IF(Sleep_health_and_lifestyle_dataset3[[#This Row],[Sleep Duration]]&gt;=5,"Average","Poor"))</f>
        <v>Average</v>
      </c>
      <c r="O110" t="str">
        <f>IF(Sleep_health_and_lifestyle_dataset3[[#This Row],[Physical Activity Level]]&gt;=60,"High",IF(Sleep_health_and_lifestyle_dataset3[[#This Row],[Physical Activity Level]]&gt;=40,"Medium","Low"))</f>
        <v>High</v>
      </c>
    </row>
    <row r="111" spans="1:15" x14ac:dyDescent="0.25">
      <c r="A111">
        <v>110</v>
      </c>
      <c r="B111" t="s">
        <v>13</v>
      </c>
      <c r="C111">
        <v>37</v>
      </c>
      <c r="D111" t="s">
        <v>42</v>
      </c>
      <c r="E111">
        <v>7.4</v>
      </c>
      <c r="F111">
        <v>8</v>
      </c>
      <c r="G111">
        <v>60</v>
      </c>
      <c r="H111">
        <v>5</v>
      </c>
      <c r="I111" t="s">
        <v>19</v>
      </c>
      <c r="J111">
        <v>130</v>
      </c>
      <c r="K111">
        <v>85</v>
      </c>
      <c r="L111">
        <v>8000</v>
      </c>
      <c r="M111" t="s">
        <v>17</v>
      </c>
      <c r="N111" t="str">
        <f>IF(Sleep_health_and_lifestyle_dataset3[[#This Row],[Sleep Duration]]&gt;=8,"Good",IF(Sleep_health_and_lifestyle_dataset3[[#This Row],[Sleep Duration]]&gt;=5,"Average","Poor"))</f>
        <v>Average</v>
      </c>
      <c r="O111" t="str">
        <f>IF(Sleep_health_and_lifestyle_dataset3[[#This Row],[Physical Activity Level]]&gt;=60,"High",IF(Sleep_health_and_lifestyle_dataset3[[#This Row],[Physical Activity Level]]&gt;=40,"Medium","Low"))</f>
        <v>High</v>
      </c>
    </row>
    <row r="112" spans="1:15" x14ac:dyDescent="0.25">
      <c r="A112">
        <v>111</v>
      </c>
      <c r="B112" t="s">
        <v>28</v>
      </c>
      <c r="C112">
        <v>37</v>
      </c>
      <c r="D112" t="s">
        <v>35</v>
      </c>
      <c r="E112">
        <v>7.2</v>
      </c>
      <c r="F112">
        <v>8</v>
      </c>
      <c r="G112">
        <v>60</v>
      </c>
      <c r="H112">
        <v>4</v>
      </c>
      <c r="I112" t="s">
        <v>19</v>
      </c>
      <c r="J112">
        <v>115</v>
      </c>
      <c r="K112">
        <v>75</v>
      </c>
      <c r="L112">
        <v>7000</v>
      </c>
      <c r="M112" t="s">
        <v>17</v>
      </c>
      <c r="N112" t="str">
        <f>IF(Sleep_health_and_lifestyle_dataset3[[#This Row],[Sleep Duration]]&gt;=8,"Good",IF(Sleep_health_and_lifestyle_dataset3[[#This Row],[Sleep Duration]]&gt;=5,"Average","Poor"))</f>
        <v>Average</v>
      </c>
      <c r="O112" t="str">
        <f>IF(Sleep_health_and_lifestyle_dataset3[[#This Row],[Physical Activity Level]]&gt;=60,"High",IF(Sleep_health_and_lifestyle_dataset3[[#This Row],[Physical Activity Level]]&gt;=40,"Medium","Low"))</f>
        <v>High</v>
      </c>
    </row>
    <row r="113" spans="1:15" x14ac:dyDescent="0.25">
      <c r="A113">
        <v>112</v>
      </c>
      <c r="B113" t="s">
        <v>13</v>
      </c>
      <c r="C113">
        <v>37</v>
      </c>
      <c r="D113" t="s">
        <v>42</v>
      </c>
      <c r="E113">
        <v>7.4</v>
      </c>
      <c r="F113">
        <v>8</v>
      </c>
      <c r="G113">
        <v>60</v>
      </c>
      <c r="H113">
        <v>5</v>
      </c>
      <c r="I113" t="s">
        <v>19</v>
      </c>
      <c r="J113">
        <v>130</v>
      </c>
      <c r="K113">
        <v>85</v>
      </c>
      <c r="L113">
        <v>8000</v>
      </c>
      <c r="M113" t="s">
        <v>17</v>
      </c>
      <c r="N113" t="str">
        <f>IF(Sleep_health_and_lifestyle_dataset3[[#This Row],[Sleep Duration]]&gt;=8,"Good",IF(Sleep_health_and_lifestyle_dataset3[[#This Row],[Sleep Duration]]&gt;=5,"Average","Poor"))</f>
        <v>Average</v>
      </c>
      <c r="O113" t="str">
        <f>IF(Sleep_health_and_lifestyle_dataset3[[#This Row],[Physical Activity Level]]&gt;=60,"High",IF(Sleep_health_and_lifestyle_dataset3[[#This Row],[Physical Activity Level]]&gt;=40,"Medium","Low"))</f>
        <v>High</v>
      </c>
    </row>
    <row r="114" spans="1:15" x14ac:dyDescent="0.25">
      <c r="A114">
        <v>113</v>
      </c>
      <c r="B114" t="s">
        <v>28</v>
      </c>
      <c r="C114">
        <v>37</v>
      </c>
      <c r="D114" t="s">
        <v>35</v>
      </c>
      <c r="E114">
        <v>7.2</v>
      </c>
      <c r="F114">
        <v>8</v>
      </c>
      <c r="G114">
        <v>60</v>
      </c>
      <c r="H114">
        <v>4</v>
      </c>
      <c r="I114" t="s">
        <v>19</v>
      </c>
      <c r="J114">
        <v>115</v>
      </c>
      <c r="K114">
        <v>75</v>
      </c>
      <c r="L114">
        <v>7000</v>
      </c>
      <c r="M114" t="s">
        <v>17</v>
      </c>
      <c r="N114" t="str">
        <f>IF(Sleep_health_and_lifestyle_dataset3[[#This Row],[Sleep Duration]]&gt;=8,"Good",IF(Sleep_health_and_lifestyle_dataset3[[#This Row],[Sleep Duration]]&gt;=5,"Average","Poor"))</f>
        <v>Average</v>
      </c>
      <c r="O114" t="str">
        <f>IF(Sleep_health_and_lifestyle_dataset3[[#This Row],[Physical Activity Level]]&gt;=60,"High",IF(Sleep_health_and_lifestyle_dataset3[[#This Row],[Physical Activity Level]]&gt;=40,"Medium","Low"))</f>
        <v>High</v>
      </c>
    </row>
    <row r="115" spans="1:15" x14ac:dyDescent="0.25">
      <c r="A115">
        <v>114</v>
      </c>
      <c r="B115" t="s">
        <v>13</v>
      </c>
      <c r="C115">
        <v>37</v>
      </c>
      <c r="D115" t="s">
        <v>42</v>
      </c>
      <c r="E115">
        <v>7.4</v>
      </c>
      <c r="F115">
        <v>8</v>
      </c>
      <c r="G115">
        <v>60</v>
      </c>
      <c r="H115">
        <v>5</v>
      </c>
      <c r="I115" t="s">
        <v>19</v>
      </c>
      <c r="J115">
        <v>130</v>
      </c>
      <c r="K115">
        <v>85</v>
      </c>
      <c r="L115">
        <v>8000</v>
      </c>
      <c r="M115" t="s">
        <v>17</v>
      </c>
      <c r="N115" t="str">
        <f>IF(Sleep_health_and_lifestyle_dataset3[[#This Row],[Sleep Duration]]&gt;=8,"Good",IF(Sleep_health_and_lifestyle_dataset3[[#This Row],[Sleep Duration]]&gt;=5,"Average","Poor"))</f>
        <v>Average</v>
      </c>
      <c r="O115" t="str">
        <f>IF(Sleep_health_and_lifestyle_dataset3[[#This Row],[Physical Activity Level]]&gt;=60,"High",IF(Sleep_health_and_lifestyle_dataset3[[#This Row],[Physical Activity Level]]&gt;=40,"Medium","Low"))</f>
        <v>High</v>
      </c>
    </row>
    <row r="116" spans="1:15" x14ac:dyDescent="0.25">
      <c r="A116">
        <v>115</v>
      </c>
      <c r="B116" t="s">
        <v>28</v>
      </c>
      <c r="C116">
        <v>37</v>
      </c>
      <c r="D116" t="s">
        <v>35</v>
      </c>
      <c r="E116">
        <v>7.2</v>
      </c>
      <c r="F116">
        <v>8</v>
      </c>
      <c r="G116">
        <v>60</v>
      </c>
      <c r="H116">
        <v>4</v>
      </c>
      <c r="I116" t="s">
        <v>19</v>
      </c>
      <c r="J116">
        <v>115</v>
      </c>
      <c r="K116">
        <v>75</v>
      </c>
      <c r="L116">
        <v>7000</v>
      </c>
      <c r="M116" t="s">
        <v>17</v>
      </c>
      <c r="N116" t="str">
        <f>IF(Sleep_health_and_lifestyle_dataset3[[#This Row],[Sleep Duration]]&gt;=8,"Good",IF(Sleep_health_and_lifestyle_dataset3[[#This Row],[Sleep Duration]]&gt;=5,"Average","Poor"))</f>
        <v>Average</v>
      </c>
      <c r="O116" t="str">
        <f>IF(Sleep_health_and_lifestyle_dataset3[[#This Row],[Physical Activity Level]]&gt;=60,"High",IF(Sleep_health_and_lifestyle_dataset3[[#This Row],[Physical Activity Level]]&gt;=40,"Medium","Low"))</f>
        <v>High</v>
      </c>
    </row>
    <row r="117" spans="1:15" x14ac:dyDescent="0.25">
      <c r="A117">
        <v>116</v>
      </c>
      <c r="B117" t="s">
        <v>28</v>
      </c>
      <c r="C117">
        <v>37</v>
      </c>
      <c r="D117" t="s">
        <v>35</v>
      </c>
      <c r="E117">
        <v>7.2</v>
      </c>
      <c r="F117">
        <v>8</v>
      </c>
      <c r="G117">
        <v>60</v>
      </c>
      <c r="H117">
        <v>4</v>
      </c>
      <c r="I117" t="s">
        <v>19</v>
      </c>
      <c r="J117">
        <v>115</v>
      </c>
      <c r="K117">
        <v>75</v>
      </c>
      <c r="L117">
        <v>7000</v>
      </c>
      <c r="M117" t="s">
        <v>17</v>
      </c>
      <c r="N117" t="str">
        <f>IF(Sleep_health_and_lifestyle_dataset3[[#This Row],[Sleep Duration]]&gt;=8,"Good",IF(Sleep_health_and_lifestyle_dataset3[[#This Row],[Sleep Duration]]&gt;=5,"Average","Poor"))</f>
        <v>Average</v>
      </c>
      <c r="O117" t="str">
        <f>IF(Sleep_health_and_lifestyle_dataset3[[#This Row],[Physical Activity Level]]&gt;=60,"High",IF(Sleep_health_and_lifestyle_dataset3[[#This Row],[Physical Activity Level]]&gt;=40,"Medium","Low"))</f>
        <v>High</v>
      </c>
    </row>
    <row r="118" spans="1:15" x14ac:dyDescent="0.25">
      <c r="A118">
        <v>117</v>
      </c>
      <c r="B118" t="s">
        <v>28</v>
      </c>
      <c r="C118">
        <v>37</v>
      </c>
      <c r="D118" t="s">
        <v>35</v>
      </c>
      <c r="E118">
        <v>7.2</v>
      </c>
      <c r="F118">
        <v>8</v>
      </c>
      <c r="G118">
        <v>60</v>
      </c>
      <c r="H118">
        <v>4</v>
      </c>
      <c r="I118" t="s">
        <v>19</v>
      </c>
      <c r="J118">
        <v>115</v>
      </c>
      <c r="K118">
        <v>75</v>
      </c>
      <c r="L118">
        <v>7000</v>
      </c>
      <c r="M118" t="s">
        <v>17</v>
      </c>
      <c r="N118" t="str">
        <f>IF(Sleep_health_and_lifestyle_dataset3[[#This Row],[Sleep Duration]]&gt;=8,"Good",IF(Sleep_health_and_lifestyle_dataset3[[#This Row],[Sleep Duration]]&gt;=5,"Average","Poor"))</f>
        <v>Average</v>
      </c>
      <c r="O118" t="str">
        <f>IF(Sleep_health_and_lifestyle_dataset3[[#This Row],[Physical Activity Level]]&gt;=60,"High",IF(Sleep_health_and_lifestyle_dataset3[[#This Row],[Physical Activity Level]]&gt;=40,"Medium","Low"))</f>
        <v>High</v>
      </c>
    </row>
    <row r="119" spans="1:15" x14ac:dyDescent="0.25">
      <c r="A119">
        <v>118</v>
      </c>
      <c r="B119" t="s">
        <v>28</v>
      </c>
      <c r="C119">
        <v>37</v>
      </c>
      <c r="D119" t="s">
        <v>35</v>
      </c>
      <c r="E119">
        <v>7.2</v>
      </c>
      <c r="F119">
        <v>8</v>
      </c>
      <c r="G119">
        <v>60</v>
      </c>
      <c r="H119">
        <v>4</v>
      </c>
      <c r="I119" t="s">
        <v>19</v>
      </c>
      <c r="J119">
        <v>115</v>
      </c>
      <c r="K119">
        <v>75</v>
      </c>
      <c r="L119">
        <v>7000</v>
      </c>
      <c r="M119" t="s">
        <v>17</v>
      </c>
      <c r="N119" t="str">
        <f>IF(Sleep_health_and_lifestyle_dataset3[[#This Row],[Sleep Duration]]&gt;=8,"Good",IF(Sleep_health_and_lifestyle_dataset3[[#This Row],[Sleep Duration]]&gt;=5,"Average","Poor"))</f>
        <v>Average</v>
      </c>
      <c r="O119" t="str">
        <f>IF(Sleep_health_and_lifestyle_dataset3[[#This Row],[Physical Activity Level]]&gt;=60,"High",IF(Sleep_health_and_lifestyle_dataset3[[#This Row],[Physical Activity Level]]&gt;=40,"Medium","Low"))</f>
        <v>High</v>
      </c>
    </row>
    <row r="120" spans="1:15" x14ac:dyDescent="0.25">
      <c r="A120">
        <v>119</v>
      </c>
      <c r="B120" t="s">
        <v>28</v>
      </c>
      <c r="C120">
        <v>37</v>
      </c>
      <c r="D120" t="s">
        <v>35</v>
      </c>
      <c r="E120">
        <v>7.2</v>
      </c>
      <c r="F120">
        <v>8</v>
      </c>
      <c r="G120">
        <v>60</v>
      </c>
      <c r="H120">
        <v>4</v>
      </c>
      <c r="I120" t="s">
        <v>19</v>
      </c>
      <c r="J120">
        <v>115</v>
      </c>
      <c r="K120">
        <v>75</v>
      </c>
      <c r="L120">
        <v>7000</v>
      </c>
      <c r="M120" t="s">
        <v>17</v>
      </c>
      <c r="N120" t="str">
        <f>IF(Sleep_health_and_lifestyle_dataset3[[#This Row],[Sleep Duration]]&gt;=8,"Good",IF(Sleep_health_and_lifestyle_dataset3[[#This Row],[Sleep Duration]]&gt;=5,"Average","Poor"))</f>
        <v>Average</v>
      </c>
      <c r="O120" t="str">
        <f>IF(Sleep_health_and_lifestyle_dataset3[[#This Row],[Physical Activity Level]]&gt;=60,"High",IF(Sleep_health_and_lifestyle_dataset3[[#This Row],[Physical Activity Level]]&gt;=40,"Medium","Low"))</f>
        <v>High</v>
      </c>
    </row>
    <row r="121" spans="1:15" x14ac:dyDescent="0.25">
      <c r="A121">
        <v>120</v>
      </c>
      <c r="B121" t="s">
        <v>28</v>
      </c>
      <c r="C121">
        <v>37</v>
      </c>
      <c r="D121" t="s">
        <v>35</v>
      </c>
      <c r="E121">
        <v>7.2</v>
      </c>
      <c r="F121">
        <v>8</v>
      </c>
      <c r="G121">
        <v>60</v>
      </c>
      <c r="H121">
        <v>4</v>
      </c>
      <c r="I121" t="s">
        <v>19</v>
      </c>
      <c r="J121">
        <v>115</v>
      </c>
      <c r="K121">
        <v>75</v>
      </c>
      <c r="L121">
        <v>7000</v>
      </c>
      <c r="M121" t="s">
        <v>17</v>
      </c>
      <c r="N121" t="str">
        <f>IF(Sleep_health_and_lifestyle_dataset3[[#This Row],[Sleep Duration]]&gt;=8,"Good",IF(Sleep_health_and_lifestyle_dataset3[[#This Row],[Sleep Duration]]&gt;=5,"Average","Poor"))</f>
        <v>Average</v>
      </c>
      <c r="O121" t="str">
        <f>IF(Sleep_health_and_lifestyle_dataset3[[#This Row],[Physical Activity Level]]&gt;=60,"High",IF(Sleep_health_and_lifestyle_dataset3[[#This Row],[Physical Activity Level]]&gt;=40,"Medium","Low"))</f>
        <v>High</v>
      </c>
    </row>
    <row r="122" spans="1:15" x14ac:dyDescent="0.25">
      <c r="A122">
        <v>121</v>
      </c>
      <c r="B122" t="s">
        <v>28</v>
      </c>
      <c r="C122">
        <v>37</v>
      </c>
      <c r="D122" t="s">
        <v>35</v>
      </c>
      <c r="E122">
        <v>7.2</v>
      </c>
      <c r="F122">
        <v>8</v>
      </c>
      <c r="G122">
        <v>60</v>
      </c>
      <c r="H122">
        <v>4</v>
      </c>
      <c r="I122" t="s">
        <v>19</v>
      </c>
      <c r="J122">
        <v>115</v>
      </c>
      <c r="K122">
        <v>75</v>
      </c>
      <c r="L122">
        <v>7000</v>
      </c>
      <c r="M122" t="s">
        <v>17</v>
      </c>
      <c r="N122" t="str">
        <f>IF(Sleep_health_and_lifestyle_dataset3[[#This Row],[Sleep Duration]]&gt;=8,"Good",IF(Sleep_health_and_lifestyle_dataset3[[#This Row],[Sleep Duration]]&gt;=5,"Average","Poor"))</f>
        <v>Average</v>
      </c>
      <c r="O122" t="str">
        <f>IF(Sleep_health_and_lifestyle_dataset3[[#This Row],[Physical Activity Level]]&gt;=60,"High",IF(Sleep_health_and_lifestyle_dataset3[[#This Row],[Physical Activity Level]]&gt;=40,"Medium","Low"))</f>
        <v>High</v>
      </c>
    </row>
    <row r="123" spans="1:15" x14ac:dyDescent="0.25">
      <c r="A123">
        <v>122</v>
      </c>
      <c r="B123" t="s">
        <v>28</v>
      </c>
      <c r="C123">
        <v>37</v>
      </c>
      <c r="D123" t="s">
        <v>35</v>
      </c>
      <c r="E123">
        <v>7.2</v>
      </c>
      <c r="F123">
        <v>8</v>
      </c>
      <c r="G123">
        <v>60</v>
      </c>
      <c r="H123">
        <v>4</v>
      </c>
      <c r="I123" t="s">
        <v>19</v>
      </c>
      <c r="J123">
        <v>115</v>
      </c>
      <c r="K123">
        <v>75</v>
      </c>
      <c r="L123">
        <v>7000</v>
      </c>
      <c r="M123" t="s">
        <v>17</v>
      </c>
      <c r="N123" t="str">
        <f>IF(Sleep_health_and_lifestyle_dataset3[[#This Row],[Sleep Duration]]&gt;=8,"Good",IF(Sleep_health_and_lifestyle_dataset3[[#This Row],[Sleep Duration]]&gt;=5,"Average","Poor"))</f>
        <v>Average</v>
      </c>
      <c r="O123" t="str">
        <f>IF(Sleep_health_and_lifestyle_dataset3[[#This Row],[Physical Activity Level]]&gt;=60,"High",IF(Sleep_health_and_lifestyle_dataset3[[#This Row],[Physical Activity Level]]&gt;=40,"Medium","Low"))</f>
        <v>High</v>
      </c>
    </row>
    <row r="124" spans="1:15" x14ac:dyDescent="0.25">
      <c r="A124">
        <v>123</v>
      </c>
      <c r="B124" t="s">
        <v>28</v>
      </c>
      <c r="C124">
        <v>37</v>
      </c>
      <c r="D124" t="s">
        <v>35</v>
      </c>
      <c r="E124">
        <v>7.2</v>
      </c>
      <c r="F124">
        <v>8</v>
      </c>
      <c r="G124">
        <v>60</v>
      </c>
      <c r="H124">
        <v>4</v>
      </c>
      <c r="I124" t="s">
        <v>19</v>
      </c>
      <c r="J124">
        <v>115</v>
      </c>
      <c r="K124">
        <v>75</v>
      </c>
      <c r="L124">
        <v>7000</v>
      </c>
      <c r="M124" t="s">
        <v>17</v>
      </c>
      <c r="N124" t="str">
        <f>IF(Sleep_health_and_lifestyle_dataset3[[#This Row],[Sleep Duration]]&gt;=8,"Good",IF(Sleep_health_and_lifestyle_dataset3[[#This Row],[Sleep Duration]]&gt;=5,"Average","Poor"))</f>
        <v>Average</v>
      </c>
      <c r="O124" t="str">
        <f>IF(Sleep_health_and_lifestyle_dataset3[[#This Row],[Physical Activity Level]]&gt;=60,"High",IF(Sleep_health_and_lifestyle_dataset3[[#This Row],[Physical Activity Level]]&gt;=40,"Medium","Low"))</f>
        <v>High</v>
      </c>
    </row>
    <row r="125" spans="1:15" x14ac:dyDescent="0.25">
      <c r="A125">
        <v>124</v>
      </c>
      <c r="B125" t="s">
        <v>28</v>
      </c>
      <c r="C125">
        <v>37</v>
      </c>
      <c r="D125" t="s">
        <v>35</v>
      </c>
      <c r="E125">
        <v>7.2</v>
      </c>
      <c r="F125">
        <v>8</v>
      </c>
      <c r="G125">
        <v>60</v>
      </c>
      <c r="H125">
        <v>4</v>
      </c>
      <c r="I125" t="s">
        <v>19</v>
      </c>
      <c r="J125">
        <v>115</v>
      </c>
      <c r="K125">
        <v>75</v>
      </c>
      <c r="L125">
        <v>7000</v>
      </c>
      <c r="M125" t="s">
        <v>17</v>
      </c>
      <c r="N125" t="str">
        <f>IF(Sleep_health_and_lifestyle_dataset3[[#This Row],[Sleep Duration]]&gt;=8,"Good",IF(Sleep_health_and_lifestyle_dataset3[[#This Row],[Sleep Duration]]&gt;=5,"Average","Poor"))</f>
        <v>Average</v>
      </c>
      <c r="O125" t="str">
        <f>IF(Sleep_health_and_lifestyle_dataset3[[#This Row],[Physical Activity Level]]&gt;=60,"High",IF(Sleep_health_and_lifestyle_dataset3[[#This Row],[Physical Activity Level]]&gt;=40,"Medium","Low"))</f>
        <v>High</v>
      </c>
    </row>
    <row r="126" spans="1:15" x14ac:dyDescent="0.25">
      <c r="A126">
        <v>125</v>
      </c>
      <c r="B126" t="s">
        <v>28</v>
      </c>
      <c r="C126">
        <v>37</v>
      </c>
      <c r="D126" t="s">
        <v>35</v>
      </c>
      <c r="E126">
        <v>7.2</v>
      </c>
      <c r="F126">
        <v>8</v>
      </c>
      <c r="G126">
        <v>60</v>
      </c>
      <c r="H126">
        <v>4</v>
      </c>
      <c r="I126" t="s">
        <v>19</v>
      </c>
      <c r="J126">
        <v>115</v>
      </c>
      <c r="K126">
        <v>75</v>
      </c>
      <c r="L126">
        <v>7000</v>
      </c>
      <c r="M126" t="s">
        <v>17</v>
      </c>
      <c r="N126" t="str">
        <f>IF(Sleep_health_and_lifestyle_dataset3[[#This Row],[Sleep Duration]]&gt;=8,"Good",IF(Sleep_health_and_lifestyle_dataset3[[#This Row],[Sleep Duration]]&gt;=5,"Average","Poor"))</f>
        <v>Average</v>
      </c>
      <c r="O126" t="str">
        <f>IF(Sleep_health_and_lifestyle_dataset3[[#This Row],[Physical Activity Level]]&gt;=60,"High",IF(Sleep_health_and_lifestyle_dataset3[[#This Row],[Physical Activity Level]]&gt;=40,"Medium","Low"))</f>
        <v>High</v>
      </c>
    </row>
    <row r="127" spans="1:15" x14ac:dyDescent="0.25">
      <c r="A127">
        <v>126</v>
      </c>
      <c r="B127" t="s">
        <v>28</v>
      </c>
      <c r="C127">
        <v>37</v>
      </c>
      <c r="D127" t="s">
        <v>29</v>
      </c>
      <c r="E127">
        <v>7.5</v>
      </c>
      <c r="F127">
        <v>8</v>
      </c>
      <c r="G127">
        <v>60</v>
      </c>
      <c r="H127">
        <v>4</v>
      </c>
      <c r="I127" t="s">
        <v>30</v>
      </c>
      <c r="J127">
        <v>120</v>
      </c>
      <c r="K127">
        <v>80</v>
      </c>
      <c r="L127">
        <v>8000</v>
      </c>
      <c r="M127" t="s">
        <v>17</v>
      </c>
      <c r="N127" t="str">
        <f>IF(Sleep_health_and_lifestyle_dataset3[[#This Row],[Sleep Duration]]&gt;=8,"Good",IF(Sleep_health_and_lifestyle_dataset3[[#This Row],[Sleep Duration]]&gt;=5,"Average","Poor"))</f>
        <v>Average</v>
      </c>
      <c r="O127" t="str">
        <f>IF(Sleep_health_and_lifestyle_dataset3[[#This Row],[Physical Activity Level]]&gt;=60,"High",IF(Sleep_health_and_lifestyle_dataset3[[#This Row],[Physical Activity Level]]&gt;=40,"Medium","Low"))</f>
        <v>High</v>
      </c>
    </row>
    <row r="128" spans="1:15" x14ac:dyDescent="0.25">
      <c r="A128">
        <v>127</v>
      </c>
      <c r="B128" t="s">
        <v>13</v>
      </c>
      <c r="C128">
        <v>38</v>
      </c>
      <c r="D128" t="s">
        <v>42</v>
      </c>
      <c r="E128">
        <v>7.3</v>
      </c>
      <c r="F128">
        <v>8</v>
      </c>
      <c r="G128">
        <v>60</v>
      </c>
      <c r="H128">
        <v>5</v>
      </c>
      <c r="I128" t="s">
        <v>19</v>
      </c>
      <c r="J128">
        <v>130</v>
      </c>
      <c r="K128">
        <v>85</v>
      </c>
      <c r="L128">
        <v>8000</v>
      </c>
      <c r="M128" t="s">
        <v>17</v>
      </c>
      <c r="N128" t="str">
        <f>IF(Sleep_health_and_lifestyle_dataset3[[#This Row],[Sleep Duration]]&gt;=8,"Good",IF(Sleep_health_and_lifestyle_dataset3[[#This Row],[Sleep Duration]]&gt;=5,"Average","Poor"))</f>
        <v>Average</v>
      </c>
      <c r="O128" t="str">
        <f>IF(Sleep_health_and_lifestyle_dataset3[[#This Row],[Physical Activity Level]]&gt;=60,"High",IF(Sleep_health_and_lifestyle_dataset3[[#This Row],[Physical Activity Level]]&gt;=40,"Medium","Low"))</f>
        <v>High</v>
      </c>
    </row>
    <row r="129" spans="1:15" x14ac:dyDescent="0.25">
      <c r="A129">
        <v>128</v>
      </c>
      <c r="B129" t="s">
        <v>28</v>
      </c>
      <c r="C129">
        <v>38</v>
      </c>
      <c r="D129" t="s">
        <v>35</v>
      </c>
      <c r="E129">
        <v>7.1</v>
      </c>
      <c r="F129">
        <v>8</v>
      </c>
      <c r="G129">
        <v>60</v>
      </c>
      <c r="H129">
        <v>4</v>
      </c>
      <c r="I129" t="s">
        <v>19</v>
      </c>
      <c r="J129">
        <v>115</v>
      </c>
      <c r="K129">
        <v>75</v>
      </c>
      <c r="L129">
        <v>7000</v>
      </c>
      <c r="M129" t="s">
        <v>17</v>
      </c>
      <c r="N129" t="str">
        <f>IF(Sleep_health_and_lifestyle_dataset3[[#This Row],[Sleep Duration]]&gt;=8,"Good",IF(Sleep_health_and_lifestyle_dataset3[[#This Row],[Sleep Duration]]&gt;=5,"Average","Poor"))</f>
        <v>Average</v>
      </c>
      <c r="O129" t="str">
        <f>IF(Sleep_health_and_lifestyle_dataset3[[#This Row],[Physical Activity Level]]&gt;=60,"High",IF(Sleep_health_and_lifestyle_dataset3[[#This Row],[Physical Activity Level]]&gt;=40,"Medium","Low"))</f>
        <v>High</v>
      </c>
    </row>
    <row r="130" spans="1:15" x14ac:dyDescent="0.25">
      <c r="A130">
        <v>129</v>
      </c>
      <c r="B130" t="s">
        <v>13</v>
      </c>
      <c r="C130">
        <v>38</v>
      </c>
      <c r="D130" t="s">
        <v>42</v>
      </c>
      <c r="E130">
        <v>7.3</v>
      </c>
      <c r="F130">
        <v>8</v>
      </c>
      <c r="G130">
        <v>60</v>
      </c>
      <c r="H130">
        <v>5</v>
      </c>
      <c r="I130" t="s">
        <v>19</v>
      </c>
      <c r="J130">
        <v>130</v>
      </c>
      <c r="K130">
        <v>85</v>
      </c>
      <c r="L130">
        <v>8000</v>
      </c>
      <c r="M130" t="s">
        <v>17</v>
      </c>
      <c r="N130" t="str">
        <f>IF(Sleep_health_and_lifestyle_dataset3[[#This Row],[Sleep Duration]]&gt;=8,"Good",IF(Sleep_health_and_lifestyle_dataset3[[#This Row],[Sleep Duration]]&gt;=5,"Average","Poor"))</f>
        <v>Average</v>
      </c>
      <c r="O130" t="str">
        <f>IF(Sleep_health_and_lifestyle_dataset3[[#This Row],[Physical Activity Level]]&gt;=60,"High",IF(Sleep_health_and_lifestyle_dataset3[[#This Row],[Physical Activity Level]]&gt;=40,"Medium","Low"))</f>
        <v>High</v>
      </c>
    </row>
    <row r="131" spans="1:15" x14ac:dyDescent="0.25">
      <c r="A131">
        <v>130</v>
      </c>
      <c r="B131" t="s">
        <v>13</v>
      </c>
      <c r="C131">
        <v>38</v>
      </c>
      <c r="D131" t="s">
        <v>42</v>
      </c>
      <c r="E131">
        <v>7.3</v>
      </c>
      <c r="F131">
        <v>8</v>
      </c>
      <c r="G131">
        <v>60</v>
      </c>
      <c r="H131">
        <v>5</v>
      </c>
      <c r="I131" t="s">
        <v>19</v>
      </c>
      <c r="J131">
        <v>130</v>
      </c>
      <c r="K131">
        <v>85</v>
      </c>
      <c r="L131">
        <v>8000</v>
      </c>
      <c r="M131" t="s">
        <v>17</v>
      </c>
      <c r="N131" t="str">
        <f>IF(Sleep_health_and_lifestyle_dataset3[[#This Row],[Sleep Duration]]&gt;=8,"Good",IF(Sleep_health_and_lifestyle_dataset3[[#This Row],[Sleep Duration]]&gt;=5,"Average","Poor"))</f>
        <v>Average</v>
      </c>
      <c r="O131" t="str">
        <f>IF(Sleep_health_and_lifestyle_dataset3[[#This Row],[Physical Activity Level]]&gt;=60,"High",IF(Sleep_health_and_lifestyle_dataset3[[#This Row],[Physical Activity Level]]&gt;=40,"Medium","Low"))</f>
        <v>High</v>
      </c>
    </row>
    <row r="132" spans="1:15" x14ac:dyDescent="0.25">
      <c r="A132">
        <v>131</v>
      </c>
      <c r="B132" t="s">
        <v>28</v>
      </c>
      <c r="C132">
        <v>38</v>
      </c>
      <c r="D132" t="s">
        <v>35</v>
      </c>
      <c r="E132">
        <v>7.1</v>
      </c>
      <c r="F132">
        <v>8</v>
      </c>
      <c r="G132">
        <v>60</v>
      </c>
      <c r="H132">
        <v>4</v>
      </c>
      <c r="I132" t="s">
        <v>19</v>
      </c>
      <c r="J132">
        <v>115</v>
      </c>
      <c r="K132">
        <v>75</v>
      </c>
      <c r="L132">
        <v>7000</v>
      </c>
      <c r="M132" t="s">
        <v>17</v>
      </c>
      <c r="N132" t="str">
        <f>IF(Sleep_health_and_lifestyle_dataset3[[#This Row],[Sleep Duration]]&gt;=8,"Good",IF(Sleep_health_and_lifestyle_dataset3[[#This Row],[Sleep Duration]]&gt;=5,"Average","Poor"))</f>
        <v>Average</v>
      </c>
      <c r="O132" t="str">
        <f>IF(Sleep_health_and_lifestyle_dataset3[[#This Row],[Physical Activity Level]]&gt;=60,"High",IF(Sleep_health_and_lifestyle_dataset3[[#This Row],[Physical Activity Level]]&gt;=40,"Medium","Low"))</f>
        <v>High</v>
      </c>
    </row>
    <row r="133" spans="1:15" x14ac:dyDescent="0.25">
      <c r="A133">
        <v>132</v>
      </c>
      <c r="B133" t="s">
        <v>13</v>
      </c>
      <c r="C133">
        <v>38</v>
      </c>
      <c r="D133" t="s">
        <v>42</v>
      </c>
      <c r="E133">
        <v>7.3</v>
      </c>
      <c r="F133">
        <v>8</v>
      </c>
      <c r="G133">
        <v>60</v>
      </c>
      <c r="H133">
        <v>5</v>
      </c>
      <c r="I133" t="s">
        <v>19</v>
      </c>
      <c r="J133">
        <v>130</v>
      </c>
      <c r="K133">
        <v>85</v>
      </c>
      <c r="L133">
        <v>8000</v>
      </c>
      <c r="M133" t="s">
        <v>17</v>
      </c>
      <c r="N133" t="str">
        <f>IF(Sleep_health_and_lifestyle_dataset3[[#This Row],[Sleep Duration]]&gt;=8,"Good",IF(Sleep_health_and_lifestyle_dataset3[[#This Row],[Sleep Duration]]&gt;=5,"Average","Poor"))</f>
        <v>Average</v>
      </c>
      <c r="O133" t="str">
        <f>IF(Sleep_health_and_lifestyle_dataset3[[#This Row],[Physical Activity Level]]&gt;=60,"High",IF(Sleep_health_and_lifestyle_dataset3[[#This Row],[Physical Activity Level]]&gt;=40,"Medium","Low"))</f>
        <v>High</v>
      </c>
    </row>
    <row r="134" spans="1:15" x14ac:dyDescent="0.25">
      <c r="A134">
        <v>133</v>
      </c>
      <c r="B134" t="s">
        <v>13</v>
      </c>
      <c r="C134">
        <v>38</v>
      </c>
      <c r="D134" t="s">
        <v>42</v>
      </c>
      <c r="E134">
        <v>7.3</v>
      </c>
      <c r="F134">
        <v>8</v>
      </c>
      <c r="G134">
        <v>60</v>
      </c>
      <c r="H134">
        <v>5</v>
      </c>
      <c r="I134" t="s">
        <v>19</v>
      </c>
      <c r="J134">
        <v>130</v>
      </c>
      <c r="K134">
        <v>85</v>
      </c>
      <c r="L134">
        <v>8000</v>
      </c>
      <c r="M134" t="s">
        <v>17</v>
      </c>
      <c r="N134" t="str">
        <f>IF(Sleep_health_and_lifestyle_dataset3[[#This Row],[Sleep Duration]]&gt;=8,"Good",IF(Sleep_health_and_lifestyle_dataset3[[#This Row],[Sleep Duration]]&gt;=5,"Average","Poor"))</f>
        <v>Average</v>
      </c>
      <c r="O134" t="str">
        <f>IF(Sleep_health_and_lifestyle_dataset3[[#This Row],[Physical Activity Level]]&gt;=60,"High",IF(Sleep_health_and_lifestyle_dataset3[[#This Row],[Physical Activity Level]]&gt;=40,"Medium","Low"))</f>
        <v>High</v>
      </c>
    </row>
    <row r="135" spans="1:15" x14ac:dyDescent="0.25">
      <c r="A135">
        <v>134</v>
      </c>
      <c r="B135" t="s">
        <v>28</v>
      </c>
      <c r="C135">
        <v>38</v>
      </c>
      <c r="D135" t="s">
        <v>35</v>
      </c>
      <c r="E135">
        <v>7.1</v>
      </c>
      <c r="F135">
        <v>8</v>
      </c>
      <c r="G135">
        <v>60</v>
      </c>
      <c r="H135">
        <v>4</v>
      </c>
      <c r="I135" t="s">
        <v>19</v>
      </c>
      <c r="J135">
        <v>115</v>
      </c>
      <c r="K135">
        <v>75</v>
      </c>
      <c r="L135">
        <v>7000</v>
      </c>
      <c r="M135" t="s">
        <v>17</v>
      </c>
      <c r="N135" t="str">
        <f>IF(Sleep_health_and_lifestyle_dataset3[[#This Row],[Sleep Duration]]&gt;=8,"Good",IF(Sleep_health_and_lifestyle_dataset3[[#This Row],[Sleep Duration]]&gt;=5,"Average","Poor"))</f>
        <v>Average</v>
      </c>
      <c r="O135" t="str">
        <f>IF(Sleep_health_and_lifestyle_dataset3[[#This Row],[Physical Activity Level]]&gt;=60,"High",IF(Sleep_health_and_lifestyle_dataset3[[#This Row],[Physical Activity Level]]&gt;=40,"Medium","Low"))</f>
        <v>High</v>
      </c>
    </row>
    <row r="136" spans="1:15" x14ac:dyDescent="0.25">
      <c r="A136">
        <v>135</v>
      </c>
      <c r="B136" t="s">
        <v>13</v>
      </c>
      <c r="C136">
        <v>38</v>
      </c>
      <c r="D136" t="s">
        <v>42</v>
      </c>
      <c r="E136">
        <v>7.3</v>
      </c>
      <c r="F136">
        <v>8</v>
      </c>
      <c r="G136">
        <v>60</v>
      </c>
      <c r="H136">
        <v>5</v>
      </c>
      <c r="I136" t="s">
        <v>19</v>
      </c>
      <c r="J136">
        <v>130</v>
      </c>
      <c r="K136">
        <v>85</v>
      </c>
      <c r="L136">
        <v>8000</v>
      </c>
      <c r="M136" t="s">
        <v>17</v>
      </c>
      <c r="N136" t="str">
        <f>IF(Sleep_health_and_lifestyle_dataset3[[#This Row],[Sleep Duration]]&gt;=8,"Good",IF(Sleep_health_and_lifestyle_dataset3[[#This Row],[Sleep Duration]]&gt;=5,"Average","Poor"))</f>
        <v>Average</v>
      </c>
      <c r="O136" t="str">
        <f>IF(Sleep_health_and_lifestyle_dataset3[[#This Row],[Physical Activity Level]]&gt;=60,"High",IF(Sleep_health_and_lifestyle_dataset3[[#This Row],[Physical Activity Level]]&gt;=40,"Medium","Low"))</f>
        <v>High</v>
      </c>
    </row>
    <row r="137" spans="1:15" x14ac:dyDescent="0.25">
      <c r="A137">
        <v>136</v>
      </c>
      <c r="B137" t="s">
        <v>13</v>
      </c>
      <c r="C137">
        <v>38</v>
      </c>
      <c r="D137" t="s">
        <v>42</v>
      </c>
      <c r="E137">
        <v>7.3</v>
      </c>
      <c r="F137">
        <v>8</v>
      </c>
      <c r="G137">
        <v>60</v>
      </c>
      <c r="H137">
        <v>5</v>
      </c>
      <c r="I137" t="s">
        <v>19</v>
      </c>
      <c r="J137">
        <v>130</v>
      </c>
      <c r="K137">
        <v>85</v>
      </c>
      <c r="L137">
        <v>8000</v>
      </c>
      <c r="M137" t="s">
        <v>17</v>
      </c>
      <c r="N137" t="str">
        <f>IF(Sleep_health_and_lifestyle_dataset3[[#This Row],[Sleep Duration]]&gt;=8,"Good",IF(Sleep_health_and_lifestyle_dataset3[[#This Row],[Sleep Duration]]&gt;=5,"Average","Poor"))</f>
        <v>Average</v>
      </c>
      <c r="O137" t="str">
        <f>IF(Sleep_health_and_lifestyle_dataset3[[#This Row],[Physical Activity Level]]&gt;=60,"High",IF(Sleep_health_and_lifestyle_dataset3[[#This Row],[Physical Activity Level]]&gt;=40,"Medium","Low"))</f>
        <v>High</v>
      </c>
    </row>
    <row r="138" spans="1:15" x14ac:dyDescent="0.25">
      <c r="A138">
        <v>137</v>
      </c>
      <c r="B138" t="s">
        <v>28</v>
      </c>
      <c r="C138">
        <v>38</v>
      </c>
      <c r="D138" t="s">
        <v>35</v>
      </c>
      <c r="E138">
        <v>7.1</v>
      </c>
      <c r="F138">
        <v>8</v>
      </c>
      <c r="G138">
        <v>60</v>
      </c>
      <c r="H138">
        <v>4</v>
      </c>
      <c r="I138" t="s">
        <v>19</v>
      </c>
      <c r="J138">
        <v>115</v>
      </c>
      <c r="K138">
        <v>75</v>
      </c>
      <c r="L138">
        <v>7000</v>
      </c>
      <c r="M138" t="s">
        <v>17</v>
      </c>
      <c r="N138" t="str">
        <f>IF(Sleep_health_and_lifestyle_dataset3[[#This Row],[Sleep Duration]]&gt;=8,"Good",IF(Sleep_health_and_lifestyle_dataset3[[#This Row],[Sleep Duration]]&gt;=5,"Average","Poor"))</f>
        <v>Average</v>
      </c>
      <c r="O138" t="str">
        <f>IF(Sleep_health_and_lifestyle_dataset3[[#This Row],[Physical Activity Level]]&gt;=60,"High",IF(Sleep_health_and_lifestyle_dataset3[[#This Row],[Physical Activity Level]]&gt;=40,"Medium","Low"))</f>
        <v>High</v>
      </c>
    </row>
    <row r="139" spans="1:15" x14ac:dyDescent="0.25">
      <c r="A139">
        <v>138</v>
      </c>
      <c r="B139" t="s">
        <v>13</v>
      </c>
      <c r="C139">
        <v>38</v>
      </c>
      <c r="D139" t="s">
        <v>42</v>
      </c>
      <c r="E139">
        <v>7.1</v>
      </c>
      <c r="F139">
        <v>8</v>
      </c>
      <c r="G139">
        <v>60</v>
      </c>
      <c r="H139">
        <v>5</v>
      </c>
      <c r="I139" t="s">
        <v>19</v>
      </c>
      <c r="J139">
        <v>130</v>
      </c>
      <c r="K139">
        <v>85</v>
      </c>
      <c r="L139">
        <v>8000</v>
      </c>
      <c r="M139" t="s">
        <v>17</v>
      </c>
      <c r="N139" t="str">
        <f>IF(Sleep_health_and_lifestyle_dataset3[[#This Row],[Sleep Duration]]&gt;=8,"Good",IF(Sleep_health_and_lifestyle_dataset3[[#This Row],[Sleep Duration]]&gt;=5,"Average","Poor"))</f>
        <v>Average</v>
      </c>
      <c r="O139" t="str">
        <f>IF(Sleep_health_and_lifestyle_dataset3[[#This Row],[Physical Activity Level]]&gt;=60,"High",IF(Sleep_health_and_lifestyle_dataset3[[#This Row],[Physical Activity Level]]&gt;=40,"Medium","Low"))</f>
        <v>High</v>
      </c>
    </row>
    <row r="140" spans="1:15" x14ac:dyDescent="0.25">
      <c r="A140">
        <v>139</v>
      </c>
      <c r="B140" t="s">
        <v>28</v>
      </c>
      <c r="C140">
        <v>38</v>
      </c>
      <c r="D140" t="s">
        <v>35</v>
      </c>
      <c r="E140">
        <v>7.1</v>
      </c>
      <c r="F140">
        <v>8</v>
      </c>
      <c r="G140">
        <v>60</v>
      </c>
      <c r="H140">
        <v>4</v>
      </c>
      <c r="I140" t="s">
        <v>19</v>
      </c>
      <c r="J140">
        <v>115</v>
      </c>
      <c r="K140">
        <v>75</v>
      </c>
      <c r="L140">
        <v>7000</v>
      </c>
      <c r="M140" t="s">
        <v>17</v>
      </c>
      <c r="N140" t="str">
        <f>IF(Sleep_health_and_lifestyle_dataset3[[#This Row],[Sleep Duration]]&gt;=8,"Good",IF(Sleep_health_and_lifestyle_dataset3[[#This Row],[Sleep Duration]]&gt;=5,"Average","Poor"))</f>
        <v>Average</v>
      </c>
      <c r="O140" t="str">
        <f>IF(Sleep_health_and_lifestyle_dataset3[[#This Row],[Physical Activity Level]]&gt;=60,"High",IF(Sleep_health_and_lifestyle_dataset3[[#This Row],[Physical Activity Level]]&gt;=40,"Medium","Low"))</f>
        <v>High</v>
      </c>
    </row>
    <row r="141" spans="1:15" x14ac:dyDescent="0.25">
      <c r="A141">
        <v>140</v>
      </c>
      <c r="B141" t="s">
        <v>13</v>
      </c>
      <c r="C141">
        <v>38</v>
      </c>
      <c r="D141" t="s">
        <v>42</v>
      </c>
      <c r="E141">
        <v>7.1</v>
      </c>
      <c r="F141">
        <v>8</v>
      </c>
      <c r="G141">
        <v>60</v>
      </c>
      <c r="H141">
        <v>5</v>
      </c>
      <c r="I141" t="s">
        <v>19</v>
      </c>
      <c r="J141">
        <v>130</v>
      </c>
      <c r="K141">
        <v>85</v>
      </c>
      <c r="L141">
        <v>8000</v>
      </c>
      <c r="M141" t="s">
        <v>17</v>
      </c>
      <c r="N141" t="str">
        <f>IF(Sleep_health_and_lifestyle_dataset3[[#This Row],[Sleep Duration]]&gt;=8,"Good",IF(Sleep_health_and_lifestyle_dataset3[[#This Row],[Sleep Duration]]&gt;=5,"Average","Poor"))</f>
        <v>Average</v>
      </c>
      <c r="O141" t="str">
        <f>IF(Sleep_health_and_lifestyle_dataset3[[#This Row],[Physical Activity Level]]&gt;=60,"High",IF(Sleep_health_and_lifestyle_dataset3[[#This Row],[Physical Activity Level]]&gt;=40,"Medium","Low"))</f>
        <v>High</v>
      </c>
    </row>
    <row r="142" spans="1:15" x14ac:dyDescent="0.25">
      <c r="A142">
        <v>141</v>
      </c>
      <c r="B142" t="s">
        <v>28</v>
      </c>
      <c r="C142">
        <v>38</v>
      </c>
      <c r="D142" t="s">
        <v>35</v>
      </c>
      <c r="E142">
        <v>7.1</v>
      </c>
      <c r="F142">
        <v>8</v>
      </c>
      <c r="G142">
        <v>60</v>
      </c>
      <c r="H142">
        <v>4</v>
      </c>
      <c r="I142" t="s">
        <v>19</v>
      </c>
      <c r="J142">
        <v>115</v>
      </c>
      <c r="K142">
        <v>75</v>
      </c>
      <c r="L142">
        <v>7000</v>
      </c>
      <c r="M142" t="s">
        <v>17</v>
      </c>
      <c r="N142" t="str">
        <f>IF(Sleep_health_and_lifestyle_dataset3[[#This Row],[Sleep Duration]]&gt;=8,"Good",IF(Sleep_health_and_lifestyle_dataset3[[#This Row],[Sleep Duration]]&gt;=5,"Average","Poor"))</f>
        <v>Average</v>
      </c>
      <c r="O142" t="str">
        <f>IF(Sleep_health_and_lifestyle_dataset3[[#This Row],[Physical Activity Level]]&gt;=60,"High",IF(Sleep_health_and_lifestyle_dataset3[[#This Row],[Physical Activity Level]]&gt;=40,"Medium","Low"))</f>
        <v>High</v>
      </c>
    </row>
    <row r="143" spans="1:15" x14ac:dyDescent="0.25">
      <c r="A143">
        <v>142</v>
      </c>
      <c r="B143" t="s">
        <v>13</v>
      </c>
      <c r="C143">
        <v>38</v>
      </c>
      <c r="D143" t="s">
        <v>42</v>
      </c>
      <c r="E143">
        <v>7.1</v>
      </c>
      <c r="F143">
        <v>8</v>
      </c>
      <c r="G143">
        <v>60</v>
      </c>
      <c r="H143">
        <v>5</v>
      </c>
      <c r="I143" t="s">
        <v>19</v>
      </c>
      <c r="J143">
        <v>130</v>
      </c>
      <c r="K143">
        <v>85</v>
      </c>
      <c r="L143">
        <v>8000</v>
      </c>
      <c r="M143" t="s">
        <v>17</v>
      </c>
      <c r="N143" t="str">
        <f>IF(Sleep_health_and_lifestyle_dataset3[[#This Row],[Sleep Duration]]&gt;=8,"Good",IF(Sleep_health_and_lifestyle_dataset3[[#This Row],[Sleep Duration]]&gt;=5,"Average","Poor"))</f>
        <v>Average</v>
      </c>
      <c r="O143" t="str">
        <f>IF(Sleep_health_and_lifestyle_dataset3[[#This Row],[Physical Activity Level]]&gt;=60,"High",IF(Sleep_health_and_lifestyle_dataset3[[#This Row],[Physical Activity Level]]&gt;=40,"Medium","Low"))</f>
        <v>High</v>
      </c>
    </row>
    <row r="144" spans="1:15" x14ac:dyDescent="0.25">
      <c r="A144">
        <v>143</v>
      </c>
      <c r="B144" t="s">
        <v>28</v>
      </c>
      <c r="C144">
        <v>38</v>
      </c>
      <c r="D144" t="s">
        <v>35</v>
      </c>
      <c r="E144">
        <v>7.1</v>
      </c>
      <c r="F144">
        <v>8</v>
      </c>
      <c r="G144">
        <v>60</v>
      </c>
      <c r="H144">
        <v>4</v>
      </c>
      <c r="I144" t="s">
        <v>19</v>
      </c>
      <c r="J144">
        <v>115</v>
      </c>
      <c r="K144">
        <v>75</v>
      </c>
      <c r="L144">
        <v>7000</v>
      </c>
      <c r="M144" t="s">
        <v>17</v>
      </c>
      <c r="N144" t="str">
        <f>IF(Sleep_health_and_lifestyle_dataset3[[#This Row],[Sleep Duration]]&gt;=8,"Good",IF(Sleep_health_and_lifestyle_dataset3[[#This Row],[Sleep Duration]]&gt;=5,"Average","Poor"))</f>
        <v>Average</v>
      </c>
      <c r="O144" t="str">
        <f>IF(Sleep_health_and_lifestyle_dataset3[[#This Row],[Physical Activity Level]]&gt;=60,"High",IF(Sleep_health_and_lifestyle_dataset3[[#This Row],[Physical Activity Level]]&gt;=40,"Medium","Low"))</f>
        <v>High</v>
      </c>
    </row>
    <row r="145" spans="1:15" x14ac:dyDescent="0.25">
      <c r="A145">
        <v>144</v>
      </c>
      <c r="B145" t="s">
        <v>28</v>
      </c>
      <c r="C145">
        <v>38</v>
      </c>
      <c r="D145" t="s">
        <v>35</v>
      </c>
      <c r="E145">
        <v>7.1</v>
      </c>
      <c r="F145">
        <v>8</v>
      </c>
      <c r="G145">
        <v>60</v>
      </c>
      <c r="H145">
        <v>4</v>
      </c>
      <c r="I145" t="s">
        <v>19</v>
      </c>
      <c r="J145">
        <v>115</v>
      </c>
      <c r="K145">
        <v>75</v>
      </c>
      <c r="L145">
        <v>7000</v>
      </c>
      <c r="M145" t="s">
        <v>17</v>
      </c>
      <c r="N145" t="str">
        <f>IF(Sleep_health_and_lifestyle_dataset3[[#This Row],[Sleep Duration]]&gt;=8,"Good",IF(Sleep_health_and_lifestyle_dataset3[[#This Row],[Sleep Duration]]&gt;=5,"Average","Poor"))</f>
        <v>Average</v>
      </c>
      <c r="O145" t="str">
        <f>IF(Sleep_health_and_lifestyle_dataset3[[#This Row],[Physical Activity Level]]&gt;=60,"High",IF(Sleep_health_and_lifestyle_dataset3[[#This Row],[Physical Activity Level]]&gt;=40,"Medium","Low"))</f>
        <v>High</v>
      </c>
    </row>
    <row r="146" spans="1:15" x14ac:dyDescent="0.25">
      <c r="A146">
        <v>145</v>
      </c>
      <c r="B146" t="s">
        <v>13</v>
      </c>
      <c r="C146">
        <v>38</v>
      </c>
      <c r="D146" t="s">
        <v>42</v>
      </c>
      <c r="E146">
        <v>7.1</v>
      </c>
      <c r="F146">
        <v>8</v>
      </c>
      <c r="G146">
        <v>60</v>
      </c>
      <c r="H146">
        <v>5</v>
      </c>
      <c r="I146" t="s">
        <v>19</v>
      </c>
      <c r="J146">
        <v>130</v>
      </c>
      <c r="K146">
        <v>85</v>
      </c>
      <c r="L146">
        <v>8000</v>
      </c>
      <c r="M146" t="s">
        <v>24</v>
      </c>
      <c r="N146" t="str">
        <f>IF(Sleep_health_and_lifestyle_dataset3[[#This Row],[Sleep Duration]]&gt;=8,"Good",IF(Sleep_health_and_lifestyle_dataset3[[#This Row],[Sleep Duration]]&gt;=5,"Average","Poor"))</f>
        <v>Average</v>
      </c>
      <c r="O146" t="str">
        <f>IF(Sleep_health_and_lifestyle_dataset3[[#This Row],[Physical Activity Level]]&gt;=60,"High",IF(Sleep_health_and_lifestyle_dataset3[[#This Row],[Physical Activity Level]]&gt;=40,"Medium","Low"))</f>
        <v>High</v>
      </c>
    </row>
    <row r="147" spans="1:15" x14ac:dyDescent="0.25">
      <c r="A147">
        <v>146</v>
      </c>
      <c r="B147" t="s">
        <v>28</v>
      </c>
      <c r="C147">
        <v>38</v>
      </c>
      <c r="D147" t="s">
        <v>42</v>
      </c>
      <c r="E147">
        <v>7.4</v>
      </c>
      <c r="F147">
        <v>7</v>
      </c>
      <c r="G147">
        <v>60</v>
      </c>
      <c r="H147">
        <v>5</v>
      </c>
      <c r="I147" t="s">
        <v>22</v>
      </c>
      <c r="J147">
        <v>135</v>
      </c>
      <c r="K147">
        <v>88</v>
      </c>
      <c r="L147">
        <v>3300</v>
      </c>
      <c r="M147" t="s">
        <v>24</v>
      </c>
      <c r="N147" t="str">
        <f>IF(Sleep_health_and_lifestyle_dataset3[[#This Row],[Sleep Duration]]&gt;=8,"Good",IF(Sleep_health_and_lifestyle_dataset3[[#This Row],[Sleep Duration]]&gt;=5,"Average","Poor"))</f>
        <v>Average</v>
      </c>
      <c r="O147" t="str">
        <f>IF(Sleep_health_and_lifestyle_dataset3[[#This Row],[Physical Activity Level]]&gt;=60,"High",IF(Sleep_health_and_lifestyle_dataset3[[#This Row],[Physical Activity Level]]&gt;=40,"Medium","Low"))</f>
        <v>High</v>
      </c>
    </row>
    <row r="148" spans="1:15" x14ac:dyDescent="0.25">
      <c r="A148">
        <v>147</v>
      </c>
      <c r="B148" t="s">
        <v>13</v>
      </c>
      <c r="C148">
        <v>39</v>
      </c>
      <c r="D148" t="s">
        <v>42</v>
      </c>
      <c r="E148">
        <v>7.2</v>
      </c>
      <c r="F148">
        <v>8</v>
      </c>
      <c r="G148">
        <v>60</v>
      </c>
      <c r="H148">
        <v>5</v>
      </c>
      <c r="I148" t="s">
        <v>19</v>
      </c>
      <c r="J148">
        <v>130</v>
      </c>
      <c r="K148">
        <v>85</v>
      </c>
      <c r="L148">
        <v>8000</v>
      </c>
      <c r="M148" t="s">
        <v>25</v>
      </c>
      <c r="N148" t="str">
        <f>IF(Sleep_health_and_lifestyle_dataset3[[#This Row],[Sleep Duration]]&gt;=8,"Good",IF(Sleep_health_and_lifestyle_dataset3[[#This Row],[Sleep Duration]]&gt;=5,"Average","Poor"))</f>
        <v>Average</v>
      </c>
      <c r="O148" t="str">
        <f>IF(Sleep_health_and_lifestyle_dataset3[[#This Row],[Physical Activity Level]]&gt;=60,"High",IF(Sleep_health_and_lifestyle_dataset3[[#This Row],[Physical Activity Level]]&gt;=40,"Medium","Low"))</f>
        <v>High</v>
      </c>
    </row>
    <row r="149" spans="1:15" x14ac:dyDescent="0.25">
      <c r="A149">
        <v>148</v>
      </c>
      <c r="B149" t="s">
        <v>13</v>
      </c>
      <c r="C149">
        <v>39</v>
      </c>
      <c r="D149" t="s">
        <v>34</v>
      </c>
      <c r="E149">
        <v>6.5</v>
      </c>
      <c r="F149">
        <v>5</v>
      </c>
      <c r="G149">
        <v>40</v>
      </c>
      <c r="H149">
        <v>7</v>
      </c>
      <c r="I149" t="s">
        <v>15</v>
      </c>
      <c r="J149">
        <v>132</v>
      </c>
      <c r="K149">
        <v>87</v>
      </c>
      <c r="L149">
        <v>4000</v>
      </c>
      <c r="M149" t="s">
        <v>25</v>
      </c>
      <c r="N149" t="str">
        <f>IF(Sleep_health_and_lifestyle_dataset3[[#This Row],[Sleep Duration]]&gt;=8,"Good",IF(Sleep_health_and_lifestyle_dataset3[[#This Row],[Sleep Duration]]&gt;=5,"Average","Poor"))</f>
        <v>Average</v>
      </c>
      <c r="O149" t="str">
        <f>IF(Sleep_health_and_lifestyle_dataset3[[#This Row],[Physical Activity Level]]&gt;=60,"High",IF(Sleep_health_and_lifestyle_dataset3[[#This Row],[Physical Activity Level]]&gt;=40,"Medium","Low"))</f>
        <v>Medium</v>
      </c>
    </row>
    <row r="150" spans="1:15" x14ac:dyDescent="0.25">
      <c r="A150">
        <v>149</v>
      </c>
      <c r="B150" t="s">
        <v>28</v>
      </c>
      <c r="C150">
        <v>39</v>
      </c>
      <c r="D150" t="s">
        <v>42</v>
      </c>
      <c r="E150">
        <v>6.9</v>
      </c>
      <c r="F150">
        <v>7</v>
      </c>
      <c r="G150">
        <v>50</v>
      </c>
      <c r="H150">
        <v>6</v>
      </c>
      <c r="I150" t="s">
        <v>30</v>
      </c>
      <c r="J150">
        <v>128</v>
      </c>
      <c r="K150">
        <v>85</v>
      </c>
      <c r="L150">
        <v>5500</v>
      </c>
      <c r="M150" t="s">
        <v>17</v>
      </c>
      <c r="N150" t="str">
        <f>IF(Sleep_health_and_lifestyle_dataset3[[#This Row],[Sleep Duration]]&gt;=8,"Good",IF(Sleep_health_and_lifestyle_dataset3[[#This Row],[Sleep Duration]]&gt;=5,"Average","Poor"))</f>
        <v>Average</v>
      </c>
      <c r="O150" t="str">
        <f>IF(Sleep_health_and_lifestyle_dataset3[[#This Row],[Physical Activity Level]]&gt;=60,"High",IF(Sleep_health_and_lifestyle_dataset3[[#This Row],[Physical Activity Level]]&gt;=40,"Medium","Low"))</f>
        <v>Medium</v>
      </c>
    </row>
    <row r="151" spans="1:15" x14ac:dyDescent="0.25">
      <c r="A151">
        <v>150</v>
      </c>
      <c r="B151" t="s">
        <v>28</v>
      </c>
      <c r="C151">
        <v>39</v>
      </c>
      <c r="D151" t="s">
        <v>35</v>
      </c>
      <c r="E151">
        <v>8</v>
      </c>
      <c r="F151">
        <v>9</v>
      </c>
      <c r="G151">
        <v>80</v>
      </c>
      <c r="H151">
        <v>3</v>
      </c>
      <c r="I151" t="s">
        <v>30</v>
      </c>
      <c r="J151">
        <v>115</v>
      </c>
      <c r="K151">
        <v>78</v>
      </c>
      <c r="L151">
        <v>7500</v>
      </c>
      <c r="M151" t="s">
        <v>17</v>
      </c>
      <c r="N151" t="str">
        <f>IF(Sleep_health_and_lifestyle_dataset3[[#This Row],[Sleep Duration]]&gt;=8,"Good",IF(Sleep_health_and_lifestyle_dataset3[[#This Row],[Sleep Duration]]&gt;=5,"Average","Poor"))</f>
        <v>Good</v>
      </c>
      <c r="O151" t="str">
        <f>IF(Sleep_health_and_lifestyle_dataset3[[#This Row],[Physical Activity Level]]&gt;=60,"High",IF(Sleep_health_and_lifestyle_dataset3[[#This Row],[Physical Activity Level]]&gt;=40,"Medium","Low"))</f>
        <v>High</v>
      </c>
    </row>
    <row r="152" spans="1:15" x14ac:dyDescent="0.25">
      <c r="A152">
        <v>151</v>
      </c>
      <c r="B152" t="s">
        <v>28</v>
      </c>
      <c r="C152">
        <v>39</v>
      </c>
      <c r="D152" t="s">
        <v>35</v>
      </c>
      <c r="E152">
        <v>8</v>
      </c>
      <c r="F152">
        <v>9</v>
      </c>
      <c r="G152">
        <v>80</v>
      </c>
      <c r="H152">
        <v>3</v>
      </c>
      <c r="I152" t="s">
        <v>30</v>
      </c>
      <c r="J152">
        <v>115</v>
      </c>
      <c r="K152">
        <v>78</v>
      </c>
      <c r="L152">
        <v>7500</v>
      </c>
      <c r="M152" t="s">
        <v>17</v>
      </c>
      <c r="N152" t="str">
        <f>IF(Sleep_health_and_lifestyle_dataset3[[#This Row],[Sleep Duration]]&gt;=8,"Good",IF(Sleep_health_and_lifestyle_dataset3[[#This Row],[Sleep Duration]]&gt;=5,"Average","Poor"))</f>
        <v>Good</v>
      </c>
      <c r="O152" t="str">
        <f>IF(Sleep_health_and_lifestyle_dataset3[[#This Row],[Physical Activity Level]]&gt;=60,"High",IF(Sleep_health_and_lifestyle_dataset3[[#This Row],[Physical Activity Level]]&gt;=40,"Medium","Low"))</f>
        <v>High</v>
      </c>
    </row>
    <row r="153" spans="1:15" x14ac:dyDescent="0.25">
      <c r="A153">
        <v>152</v>
      </c>
      <c r="B153" t="s">
        <v>13</v>
      </c>
      <c r="C153">
        <v>39</v>
      </c>
      <c r="D153" t="s">
        <v>42</v>
      </c>
      <c r="E153">
        <v>7.2</v>
      </c>
      <c r="F153">
        <v>8</v>
      </c>
      <c r="G153">
        <v>60</v>
      </c>
      <c r="H153">
        <v>5</v>
      </c>
      <c r="I153" t="s">
        <v>19</v>
      </c>
      <c r="J153">
        <v>130</v>
      </c>
      <c r="K153">
        <v>85</v>
      </c>
      <c r="L153">
        <v>8000</v>
      </c>
      <c r="M153" t="s">
        <v>17</v>
      </c>
      <c r="N153" t="str">
        <f>IF(Sleep_health_and_lifestyle_dataset3[[#This Row],[Sleep Duration]]&gt;=8,"Good",IF(Sleep_health_and_lifestyle_dataset3[[#This Row],[Sleep Duration]]&gt;=5,"Average","Poor"))</f>
        <v>Average</v>
      </c>
      <c r="O153" t="str">
        <f>IF(Sleep_health_and_lifestyle_dataset3[[#This Row],[Physical Activity Level]]&gt;=60,"High",IF(Sleep_health_and_lifestyle_dataset3[[#This Row],[Physical Activity Level]]&gt;=40,"Medium","Low"))</f>
        <v>High</v>
      </c>
    </row>
    <row r="154" spans="1:15" x14ac:dyDescent="0.25">
      <c r="A154">
        <v>153</v>
      </c>
      <c r="B154" t="s">
        <v>13</v>
      </c>
      <c r="C154">
        <v>39</v>
      </c>
      <c r="D154" t="s">
        <v>42</v>
      </c>
      <c r="E154">
        <v>7.2</v>
      </c>
      <c r="F154">
        <v>8</v>
      </c>
      <c r="G154">
        <v>60</v>
      </c>
      <c r="H154">
        <v>5</v>
      </c>
      <c r="I154" t="s">
        <v>19</v>
      </c>
      <c r="J154">
        <v>130</v>
      </c>
      <c r="K154">
        <v>85</v>
      </c>
      <c r="L154">
        <v>8000</v>
      </c>
      <c r="M154" t="s">
        <v>17</v>
      </c>
      <c r="N154" t="str">
        <f>IF(Sleep_health_and_lifestyle_dataset3[[#This Row],[Sleep Duration]]&gt;=8,"Good",IF(Sleep_health_and_lifestyle_dataset3[[#This Row],[Sleep Duration]]&gt;=5,"Average","Poor"))</f>
        <v>Average</v>
      </c>
      <c r="O154" t="str">
        <f>IF(Sleep_health_and_lifestyle_dataset3[[#This Row],[Physical Activity Level]]&gt;=60,"High",IF(Sleep_health_and_lifestyle_dataset3[[#This Row],[Physical Activity Level]]&gt;=40,"Medium","Low"))</f>
        <v>High</v>
      </c>
    </row>
    <row r="155" spans="1:15" x14ac:dyDescent="0.25">
      <c r="A155">
        <v>154</v>
      </c>
      <c r="B155" t="s">
        <v>13</v>
      </c>
      <c r="C155">
        <v>39</v>
      </c>
      <c r="D155" t="s">
        <v>42</v>
      </c>
      <c r="E155">
        <v>7.2</v>
      </c>
      <c r="F155">
        <v>8</v>
      </c>
      <c r="G155">
        <v>60</v>
      </c>
      <c r="H155">
        <v>5</v>
      </c>
      <c r="I155" t="s">
        <v>19</v>
      </c>
      <c r="J155">
        <v>130</v>
      </c>
      <c r="K155">
        <v>85</v>
      </c>
      <c r="L155">
        <v>8000</v>
      </c>
      <c r="M155" t="s">
        <v>17</v>
      </c>
      <c r="N155" t="str">
        <f>IF(Sleep_health_and_lifestyle_dataset3[[#This Row],[Sleep Duration]]&gt;=8,"Good",IF(Sleep_health_and_lifestyle_dataset3[[#This Row],[Sleep Duration]]&gt;=5,"Average","Poor"))</f>
        <v>Average</v>
      </c>
      <c r="O155" t="str">
        <f>IF(Sleep_health_and_lifestyle_dataset3[[#This Row],[Physical Activity Level]]&gt;=60,"High",IF(Sleep_health_and_lifestyle_dataset3[[#This Row],[Physical Activity Level]]&gt;=40,"Medium","Low"))</f>
        <v>High</v>
      </c>
    </row>
    <row r="156" spans="1:15" x14ac:dyDescent="0.25">
      <c r="A156">
        <v>155</v>
      </c>
      <c r="B156" t="s">
        <v>13</v>
      </c>
      <c r="C156">
        <v>39</v>
      </c>
      <c r="D156" t="s">
        <v>42</v>
      </c>
      <c r="E156">
        <v>7.2</v>
      </c>
      <c r="F156">
        <v>8</v>
      </c>
      <c r="G156">
        <v>60</v>
      </c>
      <c r="H156">
        <v>5</v>
      </c>
      <c r="I156" t="s">
        <v>19</v>
      </c>
      <c r="J156">
        <v>130</v>
      </c>
      <c r="K156">
        <v>85</v>
      </c>
      <c r="L156">
        <v>8000</v>
      </c>
      <c r="M156" t="s">
        <v>17</v>
      </c>
      <c r="N156" t="str">
        <f>IF(Sleep_health_and_lifestyle_dataset3[[#This Row],[Sleep Duration]]&gt;=8,"Good",IF(Sleep_health_and_lifestyle_dataset3[[#This Row],[Sleep Duration]]&gt;=5,"Average","Poor"))</f>
        <v>Average</v>
      </c>
      <c r="O156" t="str">
        <f>IF(Sleep_health_and_lifestyle_dataset3[[#This Row],[Physical Activity Level]]&gt;=60,"High",IF(Sleep_health_and_lifestyle_dataset3[[#This Row],[Physical Activity Level]]&gt;=40,"Medium","Low"))</f>
        <v>High</v>
      </c>
    </row>
    <row r="157" spans="1:15" x14ac:dyDescent="0.25">
      <c r="A157">
        <v>156</v>
      </c>
      <c r="B157" t="s">
        <v>13</v>
      </c>
      <c r="C157">
        <v>39</v>
      </c>
      <c r="D157" t="s">
        <v>42</v>
      </c>
      <c r="E157">
        <v>7.2</v>
      </c>
      <c r="F157">
        <v>8</v>
      </c>
      <c r="G157">
        <v>60</v>
      </c>
      <c r="H157">
        <v>5</v>
      </c>
      <c r="I157" t="s">
        <v>19</v>
      </c>
      <c r="J157">
        <v>130</v>
      </c>
      <c r="K157">
        <v>85</v>
      </c>
      <c r="L157">
        <v>8000</v>
      </c>
      <c r="M157" t="s">
        <v>17</v>
      </c>
      <c r="N157" t="str">
        <f>IF(Sleep_health_and_lifestyle_dataset3[[#This Row],[Sleep Duration]]&gt;=8,"Good",IF(Sleep_health_and_lifestyle_dataset3[[#This Row],[Sleep Duration]]&gt;=5,"Average","Poor"))</f>
        <v>Average</v>
      </c>
      <c r="O157" t="str">
        <f>IF(Sleep_health_and_lifestyle_dataset3[[#This Row],[Physical Activity Level]]&gt;=60,"High",IF(Sleep_health_and_lifestyle_dataset3[[#This Row],[Physical Activity Level]]&gt;=40,"Medium","Low"))</f>
        <v>High</v>
      </c>
    </row>
    <row r="158" spans="1:15" x14ac:dyDescent="0.25">
      <c r="A158">
        <v>157</v>
      </c>
      <c r="B158" t="s">
        <v>13</v>
      </c>
      <c r="C158">
        <v>39</v>
      </c>
      <c r="D158" t="s">
        <v>42</v>
      </c>
      <c r="E158">
        <v>7.2</v>
      </c>
      <c r="F158">
        <v>8</v>
      </c>
      <c r="G158">
        <v>60</v>
      </c>
      <c r="H158">
        <v>5</v>
      </c>
      <c r="I158" t="s">
        <v>19</v>
      </c>
      <c r="J158">
        <v>130</v>
      </c>
      <c r="K158">
        <v>85</v>
      </c>
      <c r="L158">
        <v>8000</v>
      </c>
      <c r="M158" t="s">
        <v>17</v>
      </c>
      <c r="N158" t="str">
        <f>IF(Sleep_health_and_lifestyle_dataset3[[#This Row],[Sleep Duration]]&gt;=8,"Good",IF(Sleep_health_and_lifestyle_dataset3[[#This Row],[Sleep Duration]]&gt;=5,"Average","Poor"))</f>
        <v>Average</v>
      </c>
      <c r="O158" t="str">
        <f>IF(Sleep_health_and_lifestyle_dataset3[[#This Row],[Physical Activity Level]]&gt;=60,"High",IF(Sleep_health_and_lifestyle_dataset3[[#This Row],[Physical Activity Level]]&gt;=40,"Medium","Low"))</f>
        <v>High</v>
      </c>
    </row>
    <row r="159" spans="1:15" x14ac:dyDescent="0.25">
      <c r="A159">
        <v>158</v>
      </c>
      <c r="B159" t="s">
        <v>13</v>
      </c>
      <c r="C159">
        <v>39</v>
      </c>
      <c r="D159" t="s">
        <v>42</v>
      </c>
      <c r="E159">
        <v>7.2</v>
      </c>
      <c r="F159">
        <v>8</v>
      </c>
      <c r="G159">
        <v>60</v>
      </c>
      <c r="H159">
        <v>5</v>
      </c>
      <c r="I159" t="s">
        <v>19</v>
      </c>
      <c r="J159">
        <v>130</v>
      </c>
      <c r="K159">
        <v>85</v>
      </c>
      <c r="L159">
        <v>8000</v>
      </c>
      <c r="M159" t="s">
        <v>17</v>
      </c>
      <c r="N159" t="str">
        <f>IF(Sleep_health_and_lifestyle_dataset3[[#This Row],[Sleep Duration]]&gt;=8,"Good",IF(Sleep_health_and_lifestyle_dataset3[[#This Row],[Sleep Duration]]&gt;=5,"Average","Poor"))</f>
        <v>Average</v>
      </c>
      <c r="O159" t="str">
        <f>IF(Sleep_health_and_lifestyle_dataset3[[#This Row],[Physical Activity Level]]&gt;=60,"High",IF(Sleep_health_and_lifestyle_dataset3[[#This Row],[Physical Activity Level]]&gt;=40,"Medium","Low"))</f>
        <v>High</v>
      </c>
    </row>
    <row r="160" spans="1:15" x14ac:dyDescent="0.25">
      <c r="A160">
        <v>159</v>
      </c>
      <c r="B160" t="s">
        <v>13</v>
      </c>
      <c r="C160">
        <v>39</v>
      </c>
      <c r="D160" t="s">
        <v>42</v>
      </c>
      <c r="E160">
        <v>7.2</v>
      </c>
      <c r="F160">
        <v>8</v>
      </c>
      <c r="G160">
        <v>60</v>
      </c>
      <c r="H160">
        <v>5</v>
      </c>
      <c r="I160" t="s">
        <v>19</v>
      </c>
      <c r="J160">
        <v>130</v>
      </c>
      <c r="K160">
        <v>85</v>
      </c>
      <c r="L160">
        <v>8000</v>
      </c>
      <c r="M160" t="s">
        <v>17</v>
      </c>
      <c r="N160" t="str">
        <f>IF(Sleep_health_and_lifestyle_dataset3[[#This Row],[Sleep Duration]]&gt;=8,"Good",IF(Sleep_health_and_lifestyle_dataset3[[#This Row],[Sleep Duration]]&gt;=5,"Average","Poor"))</f>
        <v>Average</v>
      </c>
      <c r="O160" t="str">
        <f>IF(Sleep_health_and_lifestyle_dataset3[[#This Row],[Physical Activity Level]]&gt;=60,"High",IF(Sleep_health_and_lifestyle_dataset3[[#This Row],[Physical Activity Level]]&gt;=40,"Medium","Low"))</f>
        <v>High</v>
      </c>
    </row>
    <row r="161" spans="1:15" x14ac:dyDescent="0.25">
      <c r="A161">
        <v>160</v>
      </c>
      <c r="B161" t="s">
        <v>13</v>
      </c>
      <c r="C161">
        <v>39</v>
      </c>
      <c r="D161" t="s">
        <v>42</v>
      </c>
      <c r="E161">
        <v>7.2</v>
      </c>
      <c r="F161">
        <v>8</v>
      </c>
      <c r="G161">
        <v>60</v>
      </c>
      <c r="H161">
        <v>5</v>
      </c>
      <c r="I161" t="s">
        <v>19</v>
      </c>
      <c r="J161">
        <v>130</v>
      </c>
      <c r="K161">
        <v>85</v>
      </c>
      <c r="L161">
        <v>8000</v>
      </c>
      <c r="M161" t="s">
        <v>17</v>
      </c>
      <c r="N161" t="str">
        <f>IF(Sleep_health_and_lifestyle_dataset3[[#This Row],[Sleep Duration]]&gt;=8,"Good",IF(Sleep_health_and_lifestyle_dataset3[[#This Row],[Sleep Duration]]&gt;=5,"Average","Poor"))</f>
        <v>Average</v>
      </c>
      <c r="O161" t="str">
        <f>IF(Sleep_health_and_lifestyle_dataset3[[#This Row],[Physical Activity Level]]&gt;=60,"High",IF(Sleep_health_and_lifestyle_dataset3[[#This Row],[Physical Activity Level]]&gt;=40,"Medium","Low"))</f>
        <v>High</v>
      </c>
    </row>
    <row r="162" spans="1:15" x14ac:dyDescent="0.25">
      <c r="A162">
        <v>161</v>
      </c>
      <c r="B162" t="s">
        <v>13</v>
      </c>
      <c r="C162">
        <v>39</v>
      </c>
      <c r="D162" t="s">
        <v>42</v>
      </c>
      <c r="E162">
        <v>7.2</v>
      </c>
      <c r="F162">
        <v>8</v>
      </c>
      <c r="G162">
        <v>60</v>
      </c>
      <c r="H162">
        <v>5</v>
      </c>
      <c r="I162" t="s">
        <v>19</v>
      </c>
      <c r="J162">
        <v>130</v>
      </c>
      <c r="K162">
        <v>85</v>
      </c>
      <c r="L162">
        <v>8000</v>
      </c>
      <c r="M162" t="s">
        <v>17</v>
      </c>
      <c r="N162" t="str">
        <f>IF(Sleep_health_and_lifestyle_dataset3[[#This Row],[Sleep Duration]]&gt;=8,"Good",IF(Sleep_health_and_lifestyle_dataset3[[#This Row],[Sleep Duration]]&gt;=5,"Average","Poor"))</f>
        <v>Average</v>
      </c>
      <c r="O162" t="str">
        <f>IF(Sleep_health_and_lifestyle_dataset3[[#This Row],[Physical Activity Level]]&gt;=60,"High",IF(Sleep_health_and_lifestyle_dataset3[[#This Row],[Physical Activity Level]]&gt;=40,"Medium","Low"))</f>
        <v>High</v>
      </c>
    </row>
    <row r="163" spans="1:15" x14ac:dyDescent="0.25">
      <c r="A163">
        <v>162</v>
      </c>
      <c r="B163" t="s">
        <v>28</v>
      </c>
      <c r="C163">
        <v>40</v>
      </c>
      <c r="D163" t="s">
        <v>35</v>
      </c>
      <c r="E163">
        <v>7.2</v>
      </c>
      <c r="F163">
        <v>8</v>
      </c>
      <c r="G163">
        <v>55</v>
      </c>
      <c r="H163">
        <v>6</v>
      </c>
      <c r="I163" t="s">
        <v>30</v>
      </c>
      <c r="J163">
        <v>119</v>
      </c>
      <c r="K163">
        <v>77</v>
      </c>
      <c r="L163">
        <v>7300</v>
      </c>
      <c r="M163" t="s">
        <v>17</v>
      </c>
      <c r="N163" t="str">
        <f>IF(Sleep_health_and_lifestyle_dataset3[[#This Row],[Sleep Duration]]&gt;=8,"Good",IF(Sleep_health_and_lifestyle_dataset3[[#This Row],[Sleep Duration]]&gt;=5,"Average","Poor"))</f>
        <v>Average</v>
      </c>
      <c r="O163" t="str">
        <f>IF(Sleep_health_and_lifestyle_dataset3[[#This Row],[Physical Activity Level]]&gt;=60,"High",IF(Sleep_health_and_lifestyle_dataset3[[#This Row],[Physical Activity Level]]&gt;=40,"Medium","Low"))</f>
        <v>Medium</v>
      </c>
    </row>
    <row r="164" spans="1:15" x14ac:dyDescent="0.25">
      <c r="A164">
        <v>163</v>
      </c>
      <c r="B164" t="s">
        <v>28</v>
      </c>
      <c r="C164">
        <v>40</v>
      </c>
      <c r="D164" t="s">
        <v>35</v>
      </c>
      <c r="E164">
        <v>7.2</v>
      </c>
      <c r="F164">
        <v>8</v>
      </c>
      <c r="G164">
        <v>55</v>
      </c>
      <c r="H164">
        <v>6</v>
      </c>
      <c r="I164" t="s">
        <v>30</v>
      </c>
      <c r="J164">
        <v>119</v>
      </c>
      <c r="K164">
        <v>77</v>
      </c>
      <c r="L164">
        <v>7300</v>
      </c>
      <c r="M164" t="s">
        <v>17</v>
      </c>
      <c r="N164" t="str">
        <f>IF(Sleep_health_and_lifestyle_dataset3[[#This Row],[Sleep Duration]]&gt;=8,"Good",IF(Sleep_health_and_lifestyle_dataset3[[#This Row],[Sleep Duration]]&gt;=5,"Average","Poor"))</f>
        <v>Average</v>
      </c>
      <c r="O164" t="str">
        <f>IF(Sleep_health_and_lifestyle_dataset3[[#This Row],[Physical Activity Level]]&gt;=60,"High",IF(Sleep_health_and_lifestyle_dataset3[[#This Row],[Physical Activity Level]]&gt;=40,"Medium","Low"))</f>
        <v>Medium</v>
      </c>
    </row>
    <row r="165" spans="1:15" x14ac:dyDescent="0.25">
      <c r="A165">
        <v>164</v>
      </c>
      <c r="B165" t="s">
        <v>13</v>
      </c>
      <c r="C165">
        <v>40</v>
      </c>
      <c r="D165" t="s">
        <v>42</v>
      </c>
      <c r="E165">
        <v>7.9</v>
      </c>
      <c r="F165">
        <v>8</v>
      </c>
      <c r="G165">
        <v>90</v>
      </c>
      <c r="H165">
        <v>5</v>
      </c>
      <c r="I165" t="s">
        <v>19</v>
      </c>
      <c r="J165">
        <v>130</v>
      </c>
      <c r="K165">
        <v>85</v>
      </c>
      <c r="L165">
        <v>8000</v>
      </c>
      <c r="M165" t="s">
        <v>17</v>
      </c>
      <c r="N165" t="str">
        <f>IF(Sleep_health_and_lifestyle_dataset3[[#This Row],[Sleep Duration]]&gt;=8,"Good",IF(Sleep_health_and_lifestyle_dataset3[[#This Row],[Sleep Duration]]&gt;=5,"Average","Poor"))</f>
        <v>Average</v>
      </c>
      <c r="O165" t="str">
        <f>IF(Sleep_health_and_lifestyle_dataset3[[#This Row],[Physical Activity Level]]&gt;=60,"High",IF(Sleep_health_and_lifestyle_dataset3[[#This Row],[Physical Activity Level]]&gt;=40,"Medium","Low"))</f>
        <v>High</v>
      </c>
    </row>
    <row r="166" spans="1:15" x14ac:dyDescent="0.25">
      <c r="A166">
        <v>165</v>
      </c>
      <c r="B166" t="s">
        <v>13</v>
      </c>
      <c r="C166">
        <v>40</v>
      </c>
      <c r="D166" t="s">
        <v>42</v>
      </c>
      <c r="E166">
        <v>7.9</v>
      </c>
      <c r="F166">
        <v>8</v>
      </c>
      <c r="G166">
        <v>90</v>
      </c>
      <c r="H166">
        <v>5</v>
      </c>
      <c r="I166" t="s">
        <v>19</v>
      </c>
      <c r="J166">
        <v>130</v>
      </c>
      <c r="K166">
        <v>85</v>
      </c>
      <c r="L166">
        <v>8000</v>
      </c>
      <c r="M166" t="s">
        <v>17</v>
      </c>
      <c r="N166" t="str">
        <f>IF(Sleep_health_and_lifestyle_dataset3[[#This Row],[Sleep Duration]]&gt;=8,"Good",IF(Sleep_health_and_lifestyle_dataset3[[#This Row],[Sleep Duration]]&gt;=5,"Average","Poor"))</f>
        <v>Average</v>
      </c>
      <c r="O166" t="str">
        <f>IF(Sleep_health_and_lifestyle_dataset3[[#This Row],[Physical Activity Level]]&gt;=60,"High",IF(Sleep_health_and_lifestyle_dataset3[[#This Row],[Physical Activity Level]]&gt;=40,"Medium","Low"))</f>
        <v>High</v>
      </c>
    </row>
    <row r="167" spans="1:15" x14ac:dyDescent="0.25">
      <c r="A167">
        <v>166</v>
      </c>
      <c r="B167" t="s">
        <v>13</v>
      </c>
      <c r="C167">
        <v>41</v>
      </c>
      <c r="D167" t="s">
        <v>42</v>
      </c>
      <c r="E167">
        <v>7.6</v>
      </c>
      <c r="F167">
        <v>8</v>
      </c>
      <c r="G167">
        <v>90</v>
      </c>
      <c r="H167">
        <v>5</v>
      </c>
      <c r="I167" t="s">
        <v>19</v>
      </c>
      <c r="J167">
        <v>130</v>
      </c>
      <c r="K167">
        <v>85</v>
      </c>
      <c r="L167">
        <v>8000</v>
      </c>
      <c r="M167" t="s">
        <v>25</v>
      </c>
      <c r="N167" t="str">
        <f>IF(Sleep_health_and_lifestyle_dataset3[[#This Row],[Sleep Duration]]&gt;=8,"Good",IF(Sleep_health_and_lifestyle_dataset3[[#This Row],[Sleep Duration]]&gt;=5,"Average","Poor"))</f>
        <v>Average</v>
      </c>
      <c r="O167" t="str">
        <f>IF(Sleep_health_and_lifestyle_dataset3[[#This Row],[Physical Activity Level]]&gt;=60,"High",IF(Sleep_health_and_lifestyle_dataset3[[#This Row],[Physical Activity Level]]&gt;=40,"Medium","Low"))</f>
        <v>High</v>
      </c>
    </row>
    <row r="168" spans="1:15" x14ac:dyDescent="0.25">
      <c r="A168">
        <v>167</v>
      </c>
      <c r="B168" t="s">
        <v>13</v>
      </c>
      <c r="C168">
        <v>41</v>
      </c>
      <c r="D168" t="s">
        <v>34</v>
      </c>
      <c r="E168">
        <v>7.3</v>
      </c>
      <c r="F168">
        <v>8</v>
      </c>
      <c r="G168">
        <v>70</v>
      </c>
      <c r="H168">
        <v>6</v>
      </c>
      <c r="I168" t="s">
        <v>30</v>
      </c>
      <c r="J168">
        <v>121</v>
      </c>
      <c r="K168">
        <v>79</v>
      </c>
      <c r="L168">
        <v>6200</v>
      </c>
      <c r="M168" t="s">
        <v>17</v>
      </c>
      <c r="N168" t="str">
        <f>IF(Sleep_health_and_lifestyle_dataset3[[#This Row],[Sleep Duration]]&gt;=8,"Good",IF(Sleep_health_and_lifestyle_dataset3[[#This Row],[Sleep Duration]]&gt;=5,"Average","Poor"))</f>
        <v>Average</v>
      </c>
      <c r="O168" t="str">
        <f>IF(Sleep_health_and_lifestyle_dataset3[[#This Row],[Physical Activity Level]]&gt;=60,"High",IF(Sleep_health_and_lifestyle_dataset3[[#This Row],[Physical Activity Level]]&gt;=40,"Medium","Low"))</f>
        <v>High</v>
      </c>
    </row>
    <row r="169" spans="1:15" x14ac:dyDescent="0.25">
      <c r="A169">
        <v>168</v>
      </c>
      <c r="B169" t="s">
        <v>13</v>
      </c>
      <c r="C169">
        <v>41</v>
      </c>
      <c r="D169" t="s">
        <v>42</v>
      </c>
      <c r="E169">
        <v>7.1</v>
      </c>
      <c r="F169">
        <v>7</v>
      </c>
      <c r="G169">
        <v>55</v>
      </c>
      <c r="H169">
        <v>6</v>
      </c>
      <c r="I169" t="s">
        <v>15</v>
      </c>
      <c r="J169">
        <v>125</v>
      </c>
      <c r="K169">
        <v>82</v>
      </c>
      <c r="L169">
        <v>6000</v>
      </c>
      <c r="M169" t="s">
        <v>17</v>
      </c>
      <c r="N169" t="str">
        <f>IF(Sleep_health_and_lifestyle_dataset3[[#This Row],[Sleep Duration]]&gt;=8,"Good",IF(Sleep_health_and_lifestyle_dataset3[[#This Row],[Sleep Duration]]&gt;=5,"Average","Poor"))</f>
        <v>Average</v>
      </c>
      <c r="O169" t="str">
        <f>IF(Sleep_health_and_lifestyle_dataset3[[#This Row],[Physical Activity Level]]&gt;=60,"High",IF(Sleep_health_and_lifestyle_dataset3[[#This Row],[Physical Activity Level]]&gt;=40,"Medium","Low"))</f>
        <v>Medium</v>
      </c>
    </row>
    <row r="170" spans="1:15" x14ac:dyDescent="0.25">
      <c r="A170">
        <v>169</v>
      </c>
      <c r="B170" t="s">
        <v>13</v>
      </c>
      <c r="C170">
        <v>41</v>
      </c>
      <c r="D170" t="s">
        <v>42</v>
      </c>
      <c r="E170">
        <v>7.1</v>
      </c>
      <c r="F170">
        <v>7</v>
      </c>
      <c r="G170">
        <v>55</v>
      </c>
      <c r="H170">
        <v>6</v>
      </c>
      <c r="I170" t="s">
        <v>15</v>
      </c>
      <c r="J170">
        <v>125</v>
      </c>
      <c r="K170">
        <v>82</v>
      </c>
      <c r="L170">
        <v>6000</v>
      </c>
      <c r="M170" t="s">
        <v>17</v>
      </c>
      <c r="N170" t="str">
        <f>IF(Sleep_health_and_lifestyle_dataset3[[#This Row],[Sleep Duration]]&gt;=8,"Good",IF(Sleep_health_and_lifestyle_dataset3[[#This Row],[Sleep Duration]]&gt;=5,"Average","Poor"))</f>
        <v>Average</v>
      </c>
      <c r="O170" t="str">
        <f>IF(Sleep_health_and_lifestyle_dataset3[[#This Row],[Physical Activity Level]]&gt;=60,"High",IF(Sleep_health_and_lifestyle_dataset3[[#This Row],[Physical Activity Level]]&gt;=40,"Medium","Low"))</f>
        <v>Medium</v>
      </c>
    </row>
    <row r="171" spans="1:15" x14ac:dyDescent="0.25">
      <c r="A171">
        <v>170</v>
      </c>
      <c r="B171" t="s">
        <v>13</v>
      </c>
      <c r="C171">
        <v>41</v>
      </c>
      <c r="D171" t="s">
        <v>42</v>
      </c>
      <c r="E171">
        <v>7.7</v>
      </c>
      <c r="F171">
        <v>8</v>
      </c>
      <c r="G171">
        <v>90</v>
      </c>
      <c r="H171">
        <v>5</v>
      </c>
      <c r="I171" t="s">
        <v>19</v>
      </c>
      <c r="J171">
        <v>130</v>
      </c>
      <c r="K171">
        <v>85</v>
      </c>
      <c r="L171">
        <v>8000</v>
      </c>
      <c r="M171" t="s">
        <v>17</v>
      </c>
      <c r="N171" t="str">
        <f>IF(Sleep_health_and_lifestyle_dataset3[[#This Row],[Sleep Duration]]&gt;=8,"Good",IF(Sleep_health_and_lifestyle_dataset3[[#This Row],[Sleep Duration]]&gt;=5,"Average","Poor"))</f>
        <v>Average</v>
      </c>
      <c r="O171" t="str">
        <f>IF(Sleep_health_and_lifestyle_dataset3[[#This Row],[Physical Activity Level]]&gt;=60,"High",IF(Sleep_health_and_lifestyle_dataset3[[#This Row],[Physical Activity Level]]&gt;=40,"Medium","Low"))</f>
        <v>High</v>
      </c>
    </row>
    <row r="172" spans="1:15" x14ac:dyDescent="0.25">
      <c r="A172">
        <v>171</v>
      </c>
      <c r="B172" t="s">
        <v>13</v>
      </c>
      <c r="C172">
        <v>41</v>
      </c>
      <c r="D172" t="s">
        <v>42</v>
      </c>
      <c r="E172">
        <v>7.7</v>
      </c>
      <c r="F172">
        <v>8</v>
      </c>
      <c r="G172">
        <v>90</v>
      </c>
      <c r="H172">
        <v>5</v>
      </c>
      <c r="I172" t="s">
        <v>19</v>
      </c>
      <c r="J172">
        <v>130</v>
      </c>
      <c r="K172">
        <v>85</v>
      </c>
      <c r="L172">
        <v>8000</v>
      </c>
      <c r="M172" t="s">
        <v>17</v>
      </c>
      <c r="N172" t="str">
        <f>IF(Sleep_health_and_lifestyle_dataset3[[#This Row],[Sleep Duration]]&gt;=8,"Good",IF(Sleep_health_and_lifestyle_dataset3[[#This Row],[Sleep Duration]]&gt;=5,"Average","Poor"))</f>
        <v>Average</v>
      </c>
      <c r="O172" t="str">
        <f>IF(Sleep_health_and_lifestyle_dataset3[[#This Row],[Physical Activity Level]]&gt;=60,"High",IF(Sleep_health_and_lifestyle_dataset3[[#This Row],[Physical Activity Level]]&gt;=40,"Medium","Low"))</f>
        <v>High</v>
      </c>
    </row>
    <row r="173" spans="1:15" x14ac:dyDescent="0.25">
      <c r="A173">
        <v>172</v>
      </c>
      <c r="B173" t="s">
        <v>13</v>
      </c>
      <c r="C173">
        <v>41</v>
      </c>
      <c r="D173" t="s">
        <v>42</v>
      </c>
      <c r="E173">
        <v>7.7</v>
      </c>
      <c r="F173">
        <v>8</v>
      </c>
      <c r="G173">
        <v>90</v>
      </c>
      <c r="H173">
        <v>5</v>
      </c>
      <c r="I173" t="s">
        <v>19</v>
      </c>
      <c r="J173">
        <v>130</v>
      </c>
      <c r="K173">
        <v>85</v>
      </c>
      <c r="L173">
        <v>8000</v>
      </c>
      <c r="M173" t="s">
        <v>17</v>
      </c>
      <c r="N173" t="str">
        <f>IF(Sleep_health_and_lifestyle_dataset3[[#This Row],[Sleep Duration]]&gt;=8,"Good",IF(Sleep_health_and_lifestyle_dataset3[[#This Row],[Sleep Duration]]&gt;=5,"Average","Poor"))</f>
        <v>Average</v>
      </c>
      <c r="O173" t="str">
        <f>IF(Sleep_health_and_lifestyle_dataset3[[#This Row],[Physical Activity Level]]&gt;=60,"High",IF(Sleep_health_and_lifestyle_dataset3[[#This Row],[Physical Activity Level]]&gt;=40,"Medium","Low"))</f>
        <v>High</v>
      </c>
    </row>
    <row r="174" spans="1:15" x14ac:dyDescent="0.25">
      <c r="A174">
        <v>173</v>
      </c>
      <c r="B174" t="s">
        <v>13</v>
      </c>
      <c r="C174">
        <v>41</v>
      </c>
      <c r="D174" t="s">
        <v>42</v>
      </c>
      <c r="E174">
        <v>7.7</v>
      </c>
      <c r="F174">
        <v>8</v>
      </c>
      <c r="G174">
        <v>90</v>
      </c>
      <c r="H174">
        <v>5</v>
      </c>
      <c r="I174" t="s">
        <v>19</v>
      </c>
      <c r="J174">
        <v>130</v>
      </c>
      <c r="K174">
        <v>85</v>
      </c>
      <c r="L174">
        <v>8000</v>
      </c>
      <c r="M174" t="s">
        <v>17</v>
      </c>
      <c r="N174" t="str">
        <f>IF(Sleep_health_and_lifestyle_dataset3[[#This Row],[Sleep Duration]]&gt;=8,"Good",IF(Sleep_health_and_lifestyle_dataset3[[#This Row],[Sleep Duration]]&gt;=5,"Average","Poor"))</f>
        <v>Average</v>
      </c>
      <c r="O174" t="str">
        <f>IF(Sleep_health_and_lifestyle_dataset3[[#This Row],[Physical Activity Level]]&gt;=60,"High",IF(Sleep_health_and_lifestyle_dataset3[[#This Row],[Physical Activity Level]]&gt;=40,"Medium","Low"))</f>
        <v>High</v>
      </c>
    </row>
    <row r="175" spans="1:15" x14ac:dyDescent="0.25">
      <c r="A175">
        <v>174</v>
      </c>
      <c r="B175" t="s">
        <v>13</v>
      </c>
      <c r="C175">
        <v>41</v>
      </c>
      <c r="D175" t="s">
        <v>42</v>
      </c>
      <c r="E175">
        <v>7.7</v>
      </c>
      <c r="F175">
        <v>8</v>
      </c>
      <c r="G175">
        <v>90</v>
      </c>
      <c r="H175">
        <v>5</v>
      </c>
      <c r="I175" t="s">
        <v>19</v>
      </c>
      <c r="J175">
        <v>130</v>
      </c>
      <c r="K175">
        <v>85</v>
      </c>
      <c r="L175">
        <v>8000</v>
      </c>
      <c r="M175" t="s">
        <v>17</v>
      </c>
      <c r="N175" t="str">
        <f>IF(Sleep_health_and_lifestyle_dataset3[[#This Row],[Sleep Duration]]&gt;=8,"Good",IF(Sleep_health_and_lifestyle_dataset3[[#This Row],[Sleep Duration]]&gt;=5,"Average","Poor"))</f>
        <v>Average</v>
      </c>
      <c r="O175" t="str">
        <f>IF(Sleep_health_and_lifestyle_dataset3[[#This Row],[Physical Activity Level]]&gt;=60,"High",IF(Sleep_health_and_lifestyle_dataset3[[#This Row],[Physical Activity Level]]&gt;=40,"Medium","Low"))</f>
        <v>High</v>
      </c>
    </row>
    <row r="176" spans="1:15" x14ac:dyDescent="0.25">
      <c r="A176">
        <v>175</v>
      </c>
      <c r="B176" t="s">
        <v>13</v>
      </c>
      <c r="C176">
        <v>41</v>
      </c>
      <c r="D176" t="s">
        <v>42</v>
      </c>
      <c r="E176">
        <v>7.6</v>
      </c>
      <c r="F176">
        <v>8</v>
      </c>
      <c r="G176">
        <v>90</v>
      </c>
      <c r="H176">
        <v>5</v>
      </c>
      <c r="I176" t="s">
        <v>19</v>
      </c>
      <c r="J176">
        <v>130</v>
      </c>
      <c r="K176">
        <v>85</v>
      </c>
      <c r="L176">
        <v>8000</v>
      </c>
      <c r="M176" t="s">
        <v>17</v>
      </c>
      <c r="N176" t="str">
        <f>IF(Sleep_health_and_lifestyle_dataset3[[#This Row],[Sleep Duration]]&gt;=8,"Good",IF(Sleep_health_and_lifestyle_dataset3[[#This Row],[Sleep Duration]]&gt;=5,"Average","Poor"))</f>
        <v>Average</v>
      </c>
      <c r="O176" t="str">
        <f>IF(Sleep_health_and_lifestyle_dataset3[[#This Row],[Physical Activity Level]]&gt;=60,"High",IF(Sleep_health_and_lifestyle_dataset3[[#This Row],[Physical Activity Level]]&gt;=40,"Medium","Low"))</f>
        <v>High</v>
      </c>
    </row>
    <row r="177" spans="1:15" x14ac:dyDescent="0.25">
      <c r="A177">
        <v>176</v>
      </c>
      <c r="B177" t="s">
        <v>13</v>
      </c>
      <c r="C177">
        <v>41</v>
      </c>
      <c r="D177" t="s">
        <v>42</v>
      </c>
      <c r="E177">
        <v>7.6</v>
      </c>
      <c r="F177">
        <v>8</v>
      </c>
      <c r="G177">
        <v>90</v>
      </c>
      <c r="H177">
        <v>5</v>
      </c>
      <c r="I177" t="s">
        <v>19</v>
      </c>
      <c r="J177">
        <v>130</v>
      </c>
      <c r="K177">
        <v>85</v>
      </c>
      <c r="L177">
        <v>8000</v>
      </c>
      <c r="M177" t="s">
        <v>17</v>
      </c>
      <c r="N177" t="str">
        <f>IF(Sleep_health_and_lifestyle_dataset3[[#This Row],[Sleep Duration]]&gt;=8,"Good",IF(Sleep_health_and_lifestyle_dataset3[[#This Row],[Sleep Duration]]&gt;=5,"Average","Poor"))</f>
        <v>Average</v>
      </c>
      <c r="O177" t="str">
        <f>IF(Sleep_health_and_lifestyle_dataset3[[#This Row],[Physical Activity Level]]&gt;=60,"High",IF(Sleep_health_and_lifestyle_dataset3[[#This Row],[Physical Activity Level]]&gt;=40,"Medium","Low"))</f>
        <v>High</v>
      </c>
    </row>
    <row r="178" spans="1:15" x14ac:dyDescent="0.25">
      <c r="A178">
        <v>177</v>
      </c>
      <c r="B178" t="s">
        <v>13</v>
      </c>
      <c r="C178">
        <v>41</v>
      </c>
      <c r="D178" t="s">
        <v>42</v>
      </c>
      <c r="E178">
        <v>7.6</v>
      </c>
      <c r="F178">
        <v>8</v>
      </c>
      <c r="G178">
        <v>90</v>
      </c>
      <c r="H178">
        <v>5</v>
      </c>
      <c r="I178" t="s">
        <v>19</v>
      </c>
      <c r="J178">
        <v>130</v>
      </c>
      <c r="K178">
        <v>85</v>
      </c>
      <c r="L178">
        <v>8000</v>
      </c>
      <c r="M178" t="s">
        <v>17</v>
      </c>
      <c r="N178" t="str">
        <f>IF(Sleep_health_and_lifestyle_dataset3[[#This Row],[Sleep Duration]]&gt;=8,"Good",IF(Sleep_health_and_lifestyle_dataset3[[#This Row],[Sleep Duration]]&gt;=5,"Average","Poor"))</f>
        <v>Average</v>
      </c>
      <c r="O178" t="str">
        <f>IF(Sleep_health_and_lifestyle_dataset3[[#This Row],[Physical Activity Level]]&gt;=60,"High",IF(Sleep_health_and_lifestyle_dataset3[[#This Row],[Physical Activity Level]]&gt;=40,"Medium","Low"))</f>
        <v>High</v>
      </c>
    </row>
    <row r="179" spans="1:15" x14ac:dyDescent="0.25">
      <c r="A179">
        <v>178</v>
      </c>
      <c r="B179" t="s">
        <v>13</v>
      </c>
      <c r="C179">
        <v>42</v>
      </c>
      <c r="D179" t="s">
        <v>50</v>
      </c>
      <c r="E179">
        <v>6.5</v>
      </c>
      <c r="F179">
        <v>6</v>
      </c>
      <c r="G179">
        <v>45</v>
      </c>
      <c r="H179">
        <v>7</v>
      </c>
      <c r="I179" t="s">
        <v>15</v>
      </c>
      <c r="J179">
        <v>130</v>
      </c>
      <c r="K179">
        <v>85</v>
      </c>
      <c r="L179">
        <v>6000</v>
      </c>
      <c r="M179" t="s">
        <v>25</v>
      </c>
      <c r="N179" t="str">
        <f>IF(Sleep_health_and_lifestyle_dataset3[[#This Row],[Sleep Duration]]&gt;=8,"Good",IF(Sleep_health_and_lifestyle_dataset3[[#This Row],[Sleep Duration]]&gt;=5,"Average","Poor"))</f>
        <v>Average</v>
      </c>
      <c r="O179" t="str">
        <f>IF(Sleep_health_and_lifestyle_dataset3[[#This Row],[Physical Activity Level]]&gt;=60,"High",IF(Sleep_health_and_lifestyle_dataset3[[#This Row],[Physical Activity Level]]&gt;=40,"Medium","Low"))</f>
        <v>Medium</v>
      </c>
    </row>
    <row r="180" spans="1:15" x14ac:dyDescent="0.25">
      <c r="A180">
        <v>179</v>
      </c>
      <c r="B180" t="s">
        <v>13</v>
      </c>
      <c r="C180">
        <v>42</v>
      </c>
      <c r="D180" t="s">
        <v>42</v>
      </c>
      <c r="E180">
        <v>7.8</v>
      </c>
      <c r="F180">
        <v>8</v>
      </c>
      <c r="G180">
        <v>90</v>
      </c>
      <c r="H180">
        <v>5</v>
      </c>
      <c r="I180" t="s">
        <v>19</v>
      </c>
      <c r="J180">
        <v>130</v>
      </c>
      <c r="K180">
        <v>85</v>
      </c>
      <c r="L180">
        <v>8000</v>
      </c>
      <c r="M180" t="s">
        <v>17</v>
      </c>
      <c r="N180" t="str">
        <f>IF(Sleep_health_and_lifestyle_dataset3[[#This Row],[Sleep Duration]]&gt;=8,"Good",IF(Sleep_health_and_lifestyle_dataset3[[#This Row],[Sleep Duration]]&gt;=5,"Average","Poor"))</f>
        <v>Average</v>
      </c>
      <c r="O180" t="str">
        <f>IF(Sleep_health_and_lifestyle_dataset3[[#This Row],[Physical Activity Level]]&gt;=60,"High",IF(Sleep_health_and_lifestyle_dataset3[[#This Row],[Physical Activity Level]]&gt;=40,"Medium","Low"))</f>
        <v>High</v>
      </c>
    </row>
    <row r="181" spans="1:15" x14ac:dyDescent="0.25">
      <c r="A181">
        <v>180</v>
      </c>
      <c r="B181" t="s">
        <v>13</v>
      </c>
      <c r="C181">
        <v>42</v>
      </c>
      <c r="D181" t="s">
        <v>42</v>
      </c>
      <c r="E181">
        <v>7.8</v>
      </c>
      <c r="F181">
        <v>8</v>
      </c>
      <c r="G181">
        <v>90</v>
      </c>
      <c r="H181">
        <v>5</v>
      </c>
      <c r="I181" t="s">
        <v>19</v>
      </c>
      <c r="J181">
        <v>130</v>
      </c>
      <c r="K181">
        <v>85</v>
      </c>
      <c r="L181">
        <v>8000</v>
      </c>
      <c r="M181" t="s">
        <v>17</v>
      </c>
      <c r="N181" t="str">
        <f>IF(Sleep_health_and_lifestyle_dataset3[[#This Row],[Sleep Duration]]&gt;=8,"Good",IF(Sleep_health_and_lifestyle_dataset3[[#This Row],[Sleep Duration]]&gt;=5,"Average","Poor"))</f>
        <v>Average</v>
      </c>
      <c r="O181" t="str">
        <f>IF(Sleep_health_and_lifestyle_dataset3[[#This Row],[Physical Activity Level]]&gt;=60,"High",IF(Sleep_health_and_lifestyle_dataset3[[#This Row],[Physical Activity Level]]&gt;=40,"Medium","Low"))</f>
        <v>High</v>
      </c>
    </row>
    <row r="182" spans="1:15" x14ac:dyDescent="0.25">
      <c r="A182">
        <v>181</v>
      </c>
      <c r="B182" t="s">
        <v>13</v>
      </c>
      <c r="C182">
        <v>42</v>
      </c>
      <c r="D182" t="s">
        <v>42</v>
      </c>
      <c r="E182">
        <v>7.8</v>
      </c>
      <c r="F182">
        <v>8</v>
      </c>
      <c r="G182">
        <v>90</v>
      </c>
      <c r="H182">
        <v>5</v>
      </c>
      <c r="I182" t="s">
        <v>19</v>
      </c>
      <c r="J182">
        <v>130</v>
      </c>
      <c r="K182">
        <v>85</v>
      </c>
      <c r="L182">
        <v>8000</v>
      </c>
      <c r="M182" t="s">
        <v>17</v>
      </c>
      <c r="N182" t="str">
        <f>IF(Sleep_health_and_lifestyle_dataset3[[#This Row],[Sleep Duration]]&gt;=8,"Good",IF(Sleep_health_and_lifestyle_dataset3[[#This Row],[Sleep Duration]]&gt;=5,"Average","Poor"))</f>
        <v>Average</v>
      </c>
      <c r="O182" t="str">
        <f>IF(Sleep_health_and_lifestyle_dataset3[[#This Row],[Physical Activity Level]]&gt;=60,"High",IF(Sleep_health_and_lifestyle_dataset3[[#This Row],[Physical Activity Level]]&gt;=40,"Medium","Low"))</f>
        <v>High</v>
      </c>
    </row>
    <row r="183" spans="1:15" x14ac:dyDescent="0.25">
      <c r="A183">
        <v>182</v>
      </c>
      <c r="B183" t="s">
        <v>13</v>
      </c>
      <c r="C183">
        <v>42</v>
      </c>
      <c r="D183" t="s">
        <v>42</v>
      </c>
      <c r="E183">
        <v>7.8</v>
      </c>
      <c r="F183">
        <v>8</v>
      </c>
      <c r="G183">
        <v>90</v>
      </c>
      <c r="H183">
        <v>5</v>
      </c>
      <c r="I183" t="s">
        <v>19</v>
      </c>
      <c r="J183">
        <v>130</v>
      </c>
      <c r="K183">
        <v>85</v>
      </c>
      <c r="L183">
        <v>8000</v>
      </c>
      <c r="M183" t="s">
        <v>17</v>
      </c>
      <c r="N183" t="str">
        <f>IF(Sleep_health_and_lifestyle_dataset3[[#This Row],[Sleep Duration]]&gt;=8,"Good",IF(Sleep_health_and_lifestyle_dataset3[[#This Row],[Sleep Duration]]&gt;=5,"Average","Poor"))</f>
        <v>Average</v>
      </c>
      <c r="O183" t="str">
        <f>IF(Sleep_health_and_lifestyle_dataset3[[#This Row],[Physical Activity Level]]&gt;=60,"High",IF(Sleep_health_and_lifestyle_dataset3[[#This Row],[Physical Activity Level]]&gt;=40,"Medium","Low"))</f>
        <v>High</v>
      </c>
    </row>
    <row r="184" spans="1:15" x14ac:dyDescent="0.25">
      <c r="A184">
        <v>183</v>
      </c>
      <c r="B184" t="s">
        <v>13</v>
      </c>
      <c r="C184">
        <v>42</v>
      </c>
      <c r="D184" t="s">
        <v>42</v>
      </c>
      <c r="E184">
        <v>7.8</v>
      </c>
      <c r="F184">
        <v>8</v>
      </c>
      <c r="G184">
        <v>90</v>
      </c>
      <c r="H184">
        <v>5</v>
      </c>
      <c r="I184" t="s">
        <v>19</v>
      </c>
      <c r="J184">
        <v>130</v>
      </c>
      <c r="K184">
        <v>85</v>
      </c>
      <c r="L184">
        <v>8000</v>
      </c>
      <c r="M184" t="s">
        <v>17</v>
      </c>
      <c r="N184" t="str">
        <f>IF(Sleep_health_and_lifestyle_dataset3[[#This Row],[Sleep Duration]]&gt;=8,"Good",IF(Sleep_health_and_lifestyle_dataset3[[#This Row],[Sleep Duration]]&gt;=5,"Average","Poor"))</f>
        <v>Average</v>
      </c>
      <c r="O184" t="str">
        <f>IF(Sleep_health_and_lifestyle_dataset3[[#This Row],[Physical Activity Level]]&gt;=60,"High",IF(Sleep_health_and_lifestyle_dataset3[[#This Row],[Physical Activity Level]]&gt;=40,"Medium","Low"))</f>
        <v>High</v>
      </c>
    </row>
    <row r="185" spans="1:15" x14ac:dyDescent="0.25">
      <c r="A185">
        <v>184</v>
      </c>
      <c r="B185" t="s">
        <v>13</v>
      </c>
      <c r="C185">
        <v>42</v>
      </c>
      <c r="D185" t="s">
        <v>42</v>
      </c>
      <c r="E185">
        <v>7.8</v>
      </c>
      <c r="F185">
        <v>8</v>
      </c>
      <c r="G185">
        <v>90</v>
      </c>
      <c r="H185">
        <v>5</v>
      </c>
      <c r="I185" t="s">
        <v>19</v>
      </c>
      <c r="J185">
        <v>130</v>
      </c>
      <c r="K185">
        <v>85</v>
      </c>
      <c r="L185">
        <v>8000</v>
      </c>
      <c r="M185" t="s">
        <v>17</v>
      </c>
      <c r="N185" t="str">
        <f>IF(Sleep_health_and_lifestyle_dataset3[[#This Row],[Sleep Duration]]&gt;=8,"Good",IF(Sleep_health_and_lifestyle_dataset3[[#This Row],[Sleep Duration]]&gt;=5,"Average","Poor"))</f>
        <v>Average</v>
      </c>
      <c r="O185" t="str">
        <f>IF(Sleep_health_and_lifestyle_dataset3[[#This Row],[Physical Activity Level]]&gt;=60,"High",IF(Sleep_health_and_lifestyle_dataset3[[#This Row],[Physical Activity Level]]&gt;=40,"Medium","Low"))</f>
        <v>High</v>
      </c>
    </row>
    <row r="186" spans="1:15" x14ac:dyDescent="0.25">
      <c r="A186">
        <v>185</v>
      </c>
      <c r="B186" t="s">
        <v>28</v>
      </c>
      <c r="C186">
        <v>42</v>
      </c>
      <c r="D186" t="s">
        <v>26</v>
      </c>
      <c r="E186">
        <v>6.8</v>
      </c>
      <c r="F186">
        <v>6</v>
      </c>
      <c r="G186">
        <v>45</v>
      </c>
      <c r="H186">
        <v>7</v>
      </c>
      <c r="I186" t="s">
        <v>15</v>
      </c>
      <c r="J186">
        <v>130</v>
      </c>
      <c r="K186">
        <v>85</v>
      </c>
      <c r="L186">
        <v>5000</v>
      </c>
      <c r="M186" t="s">
        <v>24</v>
      </c>
      <c r="N186" t="str">
        <f>IF(Sleep_health_and_lifestyle_dataset3[[#This Row],[Sleep Duration]]&gt;=8,"Good",IF(Sleep_health_and_lifestyle_dataset3[[#This Row],[Sleep Duration]]&gt;=5,"Average","Poor"))</f>
        <v>Average</v>
      </c>
      <c r="O186" t="str">
        <f>IF(Sleep_health_and_lifestyle_dataset3[[#This Row],[Physical Activity Level]]&gt;=60,"High",IF(Sleep_health_and_lifestyle_dataset3[[#This Row],[Physical Activity Level]]&gt;=40,"Medium","Low"))</f>
        <v>Medium</v>
      </c>
    </row>
    <row r="187" spans="1:15" x14ac:dyDescent="0.25">
      <c r="A187">
        <v>186</v>
      </c>
      <c r="B187" t="s">
        <v>28</v>
      </c>
      <c r="C187">
        <v>42</v>
      </c>
      <c r="D187" t="s">
        <v>26</v>
      </c>
      <c r="E187">
        <v>6.8</v>
      </c>
      <c r="F187">
        <v>6</v>
      </c>
      <c r="G187">
        <v>45</v>
      </c>
      <c r="H187">
        <v>7</v>
      </c>
      <c r="I187" t="s">
        <v>15</v>
      </c>
      <c r="J187">
        <v>130</v>
      </c>
      <c r="K187">
        <v>85</v>
      </c>
      <c r="L187">
        <v>5000</v>
      </c>
      <c r="M187" t="s">
        <v>24</v>
      </c>
      <c r="N187" t="str">
        <f>IF(Sleep_health_and_lifestyle_dataset3[[#This Row],[Sleep Duration]]&gt;=8,"Good",IF(Sleep_health_and_lifestyle_dataset3[[#This Row],[Sleep Duration]]&gt;=5,"Average","Poor"))</f>
        <v>Average</v>
      </c>
      <c r="O187" t="str">
        <f>IF(Sleep_health_and_lifestyle_dataset3[[#This Row],[Physical Activity Level]]&gt;=60,"High",IF(Sleep_health_and_lifestyle_dataset3[[#This Row],[Physical Activity Level]]&gt;=40,"Medium","Low"))</f>
        <v>Medium</v>
      </c>
    </row>
    <row r="188" spans="1:15" x14ac:dyDescent="0.25">
      <c r="A188">
        <v>187</v>
      </c>
      <c r="B188" t="s">
        <v>28</v>
      </c>
      <c r="C188">
        <v>43</v>
      </c>
      <c r="D188" t="s">
        <v>26</v>
      </c>
      <c r="E188">
        <v>6.7</v>
      </c>
      <c r="F188">
        <v>7</v>
      </c>
      <c r="G188">
        <v>45</v>
      </c>
      <c r="H188">
        <v>4</v>
      </c>
      <c r="I188" t="s">
        <v>15</v>
      </c>
      <c r="J188">
        <v>135</v>
      </c>
      <c r="K188">
        <v>90</v>
      </c>
      <c r="L188">
        <v>6000</v>
      </c>
      <c r="M188" t="s">
        <v>25</v>
      </c>
      <c r="N188" t="str">
        <f>IF(Sleep_health_and_lifestyle_dataset3[[#This Row],[Sleep Duration]]&gt;=8,"Good",IF(Sleep_health_and_lifestyle_dataset3[[#This Row],[Sleep Duration]]&gt;=5,"Average","Poor"))</f>
        <v>Average</v>
      </c>
      <c r="O188" t="str">
        <f>IF(Sleep_health_and_lifestyle_dataset3[[#This Row],[Physical Activity Level]]&gt;=60,"High",IF(Sleep_health_and_lifestyle_dataset3[[#This Row],[Physical Activity Level]]&gt;=40,"Medium","Low"))</f>
        <v>Medium</v>
      </c>
    </row>
    <row r="189" spans="1:15" x14ac:dyDescent="0.25">
      <c r="A189">
        <v>188</v>
      </c>
      <c r="B189" t="s">
        <v>13</v>
      </c>
      <c r="C189">
        <v>43</v>
      </c>
      <c r="D189" t="s">
        <v>50</v>
      </c>
      <c r="E189">
        <v>6.3</v>
      </c>
      <c r="F189">
        <v>6</v>
      </c>
      <c r="G189">
        <v>45</v>
      </c>
      <c r="H189">
        <v>7</v>
      </c>
      <c r="I189" t="s">
        <v>15</v>
      </c>
      <c r="J189">
        <v>130</v>
      </c>
      <c r="K189">
        <v>85</v>
      </c>
      <c r="L189">
        <v>6000</v>
      </c>
      <c r="M189" t="s">
        <v>25</v>
      </c>
      <c r="N189" t="str">
        <f>IF(Sleep_health_and_lifestyle_dataset3[[#This Row],[Sleep Duration]]&gt;=8,"Good",IF(Sleep_health_and_lifestyle_dataset3[[#This Row],[Sleep Duration]]&gt;=5,"Average","Poor"))</f>
        <v>Average</v>
      </c>
      <c r="O189" t="str">
        <f>IF(Sleep_health_and_lifestyle_dataset3[[#This Row],[Physical Activity Level]]&gt;=60,"High",IF(Sleep_health_and_lifestyle_dataset3[[#This Row],[Physical Activity Level]]&gt;=40,"Medium","Low"))</f>
        <v>Medium</v>
      </c>
    </row>
    <row r="190" spans="1:15" x14ac:dyDescent="0.25">
      <c r="A190">
        <v>189</v>
      </c>
      <c r="B190" t="s">
        <v>28</v>
      </c>
      <c r="C190">
        <v>43</v>
      </c>
      <c r="D190" t="s">
        <v>26</v>
      </c>
      <c r="E190">
        <v>6.7</v>
      </c>
      <c r="F190">
        <v>7</v>
      </c>
      <c r="G190">
        <v>45</v>
      </c>
      <c r="H190">
        <v>4</v>
      </c>
      <c r="I190" t="s">
        <v>15</v>
      </c>
      <c r="J190">
        <v>135</v>
      </c>
      <c r="K190">
        <v>90</v>
      </c>
      <c r="L190">
        <v>6000</v>
      </c>
      <c r="M190" t="s">
        <v>25</v>
      </c>
      <c r="N190" t="str">
        <f>IF(Sleep_health_and_lifestyle_dataset3[[#This Row],[Sleep Duration]]&gt;=8,"Good",IF(Sleep_health_and_lifestyle_dataset3[[#This Row],[Sleep Duration]]&gt;=5,"Average","Poor"))</f>
        <v>Average</v>
      </c>
      <c r="O190" t="str">
        <f>IF(Sleep_health_and_lifestyle_dataset3[[#This Row],[Physical Activity Level]]&gt;=60,"High",IF(Sleep_health_and_lifestyle_dataset3[[#This Row],[Physical Activity Level]]&gt;=40,"Medium","Low"))</f>
        <v>Medium</v>
      </c>
    </row>
    <row r="191" spans="1:15" x14ac:dyDescent="0.25">
      <c r="A191">
        <v>190</v>
      </c>
      <c r="B191" t="s">
        <v>13</v>
      </c>
      <c r="C191">
        <v>43</v>
      </c>
      <c r="D191" t="s">
        <v>50</v>
      </c>
      <c r="E191">
        <v>6.5</v>
      </c>
      <c r="F191">
        <v>6</v>
      </c>
      <c r="G191">
        <v>45</v>
      </c>
      <c r="H191">
        <v>7</v>
      </c>
      <c r="I191" t="s">
        <v>15</v>
      </c>
      <c r="J191">
        <v>130</v>
      </c>
      <c r="K191">
        <v>85</v>
      </c>
      <c r="L191">
        <v>6000</v>
      </c>
      <c r="M191" t="s">
        <v>25</v>
      </c>
      <c r="N191" t="str">
        <f>IF(Sleep_health_and_lifestyle_dataset3[[#This Row],[Sleep Duration]]&gt;=8,"Good",IF(Sleep_health_and_lifestyle_dataset3[[#This Row],[Sleep Duration]]&gt;=5,"Average","Poor"))</f>
        <v>Average</v>
      </c>
      <c r="O191" t="str">
        <f>IF(Sleep_health_and_lifestyle_dataset3[[#This Row],[Physical Activity Level]]&gt;=60,"High",IF(Sleep_health_and_lifestyle_dataset3[[#This Row],[Physical Activity Level]]&gt;=40,"Medium","Low"))</f>
        <v>Medium</v>
      </c>
    </row>
    <row r="192" spans="1:15" x14ac:dyDescent="0.25">
      <c r="A192">
        <v>191</v>
      </c>
      <c r="B192" t="s">
        <v>28</v>
      </c>
      <c r="C192">
        <v>43</v>
      </c>
      <c r="D192" t="s">
        <v>26</v>
      </c>
      <c r="E192">
        <v>6.7</v>
      </c>
      <c r="F192">
        <v>7</v>
      </c>
      <c r="G192">
        <v>45</v>
      </c>
      <c r="H192">
        <v>4</v>
      </c>
      <c r="I192" t="s">
        <v>15</v>
      </c>
      <c r="J192">
        <v>135</v>
      </c>
      <c r="K192">
        <v>90</v>
      </c>
      <c r="L192">
        <v>6000</v>
      </c>
      <c r="M192" t="s">
        <v>25</v>
      </c>
      <c r="N192" t="str">
        <f>IF(Sleep_health_and_lifestyle_dataset3[[#This Row],[Sleep Duration]]&gt;=8,"Good",IF(Sleep_health_and_lifestyle_dataset3[[#This Row],[Sleep Duration]]&gt;=5,"Average","Poor"))</f>
        <v>Average</v>
      </c>
      <c r="O192" t="str">
        <f>IF(Sleep_health_and_lifestyle_dataset3[[#This Row],[Physical Activity Level]]&gt;=60,"High",IF(Sleep_health_and_lifestyle_dataset3[[#This Row],[Physical Activity Level]]&gt;=40,"Medium","Low"))</f>
        <v>Medium</v>
      </c>
    </row>
    <row r="193" spans="1:15" x14ac:dyDescent="0.25">
      <c r="A193">
        <v>192</v>
      </c>
      <c r="B193" t="s">
        <v>13</v>
      </c>
      <c r="C193">
        <v>43</v>
      </c>
      <c r="D193" t="s">
        <v>50</v>
      </c>
      <c r="E193">
        <v>6.4</v>
      </c>
      <c r="F193">
        <v>6</v>
      </c>
      <c r="G193">
        <v>45</v>
      </c>
      <c r="H193">
        <v>7</v>
      </c>
      <c r="I193" t="s">
        <v>15</v>
      </c>
      <c r="J193">
        <v>130</v>
      </c>
      <c r="K193">
        <v>85</v>
      </c>
      <c r="L193">
        <v>6000</v>
      </c>
      <c r="M193" t="s">
        <v>25</v>
      </c>
      <c r="N193" t="str">
        <f>IF(Sleep_health_and_lifestyle_dataset3[[#This Row],[Sleep Duration]]&gt;=8,"Good",IF(Sleep_health_and_lifestyle_dataset3[[#This Row],[Sleep Duration]]&gt;=5,"Average","Poor"))</f>
        <v>Average</v>
      </c>
      <c r="O193" t="str">
        <f>IF(Sleep_health_and_lifestyle_dataset3[[#This Row],[Physical Activity Level]]&gt;=60,"High",IF(Sleep_health_and_lifestyle_dataset3[[#This Row],[Physical Activity Level]]&gt;=40,"Medium","Low"))</f>
        <v>Medium</v>
      </c>
    </row>
    <row r="194" spans="1:15" x14ac:dyDescent="0.25">
      <c r="A194">
        <v>193</v>
      </c>
      <c r="B194" t="s">
        <v>13</v>
      </c>
      <c r="C194">
        <v>43</v>
      </c>
      <c r="D194" t="s">
        <v>50</v>
      </c>
      <c r="E194">
        <v>6.5</v>
      </c>
      <c r="F194">
        <v>6</v>
      </c>
      <c r="G194">
        <v>45</v>
      </c>
      <c r="H194">
        <v>7</v>
      </c>
      <c r="I194" t="s">
        <v>15</v>
      </c>
      <c r="J194">
        <v>130</v>
      </c>
      <c r="K194">
        <v>85</v>
      </c>
      <c r="L194">
        <v>6000</v>
      </c>
      <c r="M194" t="s">
        <v>25</v>
      </c>
      <c r="N194" t="str">
        <f>IF(Sleep_health_and_lifestyle_dataset3[[#This Row],[Sleep Duration]]&gt;=8,"Good",IF(Sleep_health_and_lifestyle_dataset3[[#This Row],[Sleep Duration]]&gt;=5,"Average","Poor"))</f>
        <v>Average</v>
      </c>
      <c r="O194" t="str">
        <f>IF(Sleep_health_and_lifestyle_dataset3[[#This Row],[Physical Activity Level]]&gt;=60,"High",IF(Sleep_health_and_lifestyle_dataset3[[#This Row],[Physical Activity Level]]&gt;=40,"Medium","Low"))</f>
        <v>Medium</v>
      </c>
    </row>
    <row r="195" spans="1:15" x14ac:dyDescent="0.25">
      <c r="A195">
        <v>194</v>
      </c>
      <c r="B195" t="s">
        <v>13</v>
      </c>
      <c r="C195">
        <v>43</v>
      </c>
      <c r="D195" t="s">
        <v>50</v>
      </c>
      <c r="E195">
        <v>6.5</v>
      </c>
      <c r="F195">
        <v>6</v>
      </c>
      <c r="G195">
        <v>45</v>
      </c>
      <c r="H195">
        <v>7</v>
      </c>
      <c r="I195" t="s">
        <v>15</v>
      </c>
      <c r="J195">
        <v>130</v>
      </c>
      <c r="K195">
        <v>85</v>
      </c>
      <c r="L195">
        <v>6000</v>
      </c>
      <c r="M195" t="s">
        <v>25</v>
      </c>
      <c r="N195" t="str">
        <f>IF(Sleep_health_and_lifestyle_dataset3[[#This Row],[Sleep Duration]]&gt;=8,"Good",IF(Sleep_health_and_lifestyle_dataset3[[#This Row],[Sleep Duration]]&gt;=5,"Average","Poor"))</f>
        <v>Average</v>
      </c>
      <c r="O195" t="str">
        <f>IF(Sleep_health_and_lifestyle_dataset3[[#This Row],[Physical Activity Level]]&gt;=60,"High",IF(Sleep_health_and_lifestyle_dataset3[[#This Row],[Physical Activity Level]]&gt;=40,"Medium","Low"))</f>
        <v>Medium</v>
      </c>
    </row>
    <row r="196" spans="1:15" x14ac:dyDescent="0.25">
      <c r="A196">
        <v>195</v>
      </c>
      <c r="B196" t="s">
        <v>13</v>
      </c>
      <c r="C196">
        <v>43</v>
      </c>
      <c r="D196" t="s">
        <v>50</v>
      </c>
      <c r="E196">
        <v>6.5</v>
      </c>
      <c r="F196">
        <v>6</v>
      </c>
      <c r="G196">
        <v>45</v>
      </c>
      <c r="H196">
        <v>7</v>
      </c>
      <c r="I196" t="s">
        <v>15</v>
      </c>
      <c r="J196">
        <v>130</v>
      </c>
      <c r="K196">
        <v>85</v>
      </c>
      <c r="L196">
        <v>6000</v>
      </c>
      <c r="M196" t="s">
        <v>25</v>
      </c>
      <c r="N196" t="str">
        <f>IF(Sleep_health_and_lifestyle_dataset3[[#This Row],[Sleep Duration]]&gt;=8,"Good",IF(Sleep_health_and_lifestyle_dataset3[[#This Row],[Sleep Duration]]&gt;=5,"Average","Poor"))</f>
        <v>Average</v>
      </c>
      <c r="O196" t="str">
        <f>IF(Sleep_health_and_lifestyle_dataset3[[#This Row],[Physical Activity Level]]&gt;=60,"High",IF(Sleep_health_and_lifestyle_dataset3[[#This Row],[Physical Activity Level]]&gt;=40,"Medium","Low"))</f>
        <v>Medium</v>
      </c>
    </row>
    <row r="197" spans="1:15" x14ac:dyDescent="0.25">
      <c r="A197">
        <v>196</v>
      </c>
      <c r="B197" t="s">
        <v>13</v>
      </c>
      <c r="C197">
        <v>43</v>
      </c>
      <c r="D197" t="s">
        <v>50</v>
      </c>
      <c r="E197">
        <v>6.5</v>
      </c>
      <c r="F197">
        <v>6</v>
      </c>
      <c r="G197">
        <v>45</v>
      </c>
      <c r="H197">
        <v>7</v>
      </c>
      <c r="I197" t="s">
        <v>15</v>
      </c>
      <c r="J197">
        <v>130</v>
      </c>
      <c r="K197">
        <v>85</v>
      </c>
      <c r="L197">
        <v>6000</v>
      </c>
      <c r="M197" t="s">
        <v>25</v>
      </c>
      <c r="N197" t="str">
        <f>IF(Sleep_health_and_lifestyle_dataset3[[#This Row],[Sleep Duration]]&gt;=8,"Good",IF(Sleep_health_and_lifestyle_dataset3[[#This Row],[Sleep Duration]]&gt;=5,"Average","Poor"))</f>
        <v>Average</v>
      </c>
      <c r="O197" t="str">
        <f>IF(Sleep_health_and_lifestyle_dataset3[[#This Row],[Physical Activity Level]]&gt;=60,"High",IF(Sleep_health_and_lifestyle_dataset3[[#This Row],[Physical Activity Level]]&gt;=40,"Medium","Low"))</f>
        <v>Medium</v>
      </c>
    </row>
    <row r="198" spans="1:15" x14ac:dyDescent="0.25">
      <c r="A198">
        <v>197</v>
      </c>
      <c r="B198" t="s">
        <v>13</v>
      </c>
      <c r="C198">
        <v>43</v>
      </c>
      <c r="D198" t="s">
        <v>50</v>
      </c>
      <c r="E198">
        <v>6.5</v>
      </c>
      <c r="F198">
        <v>6</v>
      </c>
      <c r="G198">
        <v>45</v>
      </c>
      <c r="H198">
        <v>7</v>
      </c>
      <c r="I198" t="s">
        <v>15</v>
      </c>
      <c r="J198">
        <v>130</v>
      </c>
      <c r="K198">
        <v>85</v>
      </c>
      <c r="L198">
        <v>6000</v>
      </c>
      <c r="M198" t="s">
        <v>25</v>
      </c>
      <c r="N198" t="str">
        <f>IF(Sleep_health_and_lifestyle_dataset3[[#This Row],[Sleep Duration]]&gt;=8,"Good",IF(Sleep_health_and_lifestyle_dataset3[[#This Row],[Sleep Duration]]&gt;=5,"Average","Poor"))</f>
        <v>Average</v>
      </c>
      <c r="O198" t="str">
        <f>IF(Sleep_health_and_lifestyle_dataset3[[#This Row],[Physical Activity Level]]&gt;=60,"High",IF(Sleep_health_and_lifestyle_dataset3[[#This Row],[Physical Activity Level]]&gt;=40,"Medium","Low"))</f>
        <v>Medium</v>
      </c>
    </row>
    <row r="199" spans="1:15" x14ac:dyDescent="0.25">
      <c r="A199">
        <v>198</v>
      </c>
      <c r="B199" t="s">
        <v>13</v>
      </c>
      <c r="C199">
        <v>43</v>
      </c>
      <c r="D199" t="s">
        <v>50</v>
      </c>
      <c r="E199">
        <v>6.5</v>
      </c>
      <c r="F199">
        <v>6</v>
      </c>
      <c r="G199">
        <v>45</v>
      </c>
      <c r="H199">
        <v>7</v>
      </c>
      <c r="I199" t="s">
        <v>15</v>
      </c>
      <c r="J199">
        <v>130</v>
      </c>
      <c r="K199">
        <v>85</v>
      </c>
      <c r="L199">
        <v>6000</v>
      </c>
      <c r="M199" t="s">
        <v>25</v>
      </c>
      <c r="N199" t="str">
        <f>IF(Sleep_health_and_lifestyle_dataset3[[#This Row],[Sleep Duration]]&gt;=8,"Good",IF(Sleep_health_and_lifestyle_dataset3[[#This Row],[Sleep Duration]]&gt;=5,"Average","Poor"))</f>
        <v>Average</v>
      </c>
      <c r="O199" t="str">
        <f>IF(Sleep_health_and_lifestyle_dataset3[[#This Row],[Physical Activity Level]]&gt;=60,"High",IF(Sleep_health_and_lifestyle_dataset3[[#This Row],[Physical Activity Level]]&gt;=40,"Medium","Low"))</f>
        <v>Medium</v>
      </c>
    </row>
    <row r="200" spans="1:15" x14ac:dyDescent="0.25">
      <c r="A200">
        <v>199</v>
      </c>
      <c r="B200" t="s">
        <v>13</v>
      </c>
      <c r="C200">
        <v>43</v>
      </c>
      <c r="D200" t="s">
        <v>50</v>
      </c>
      <c r="E200">
        <v>6.5</v>
      </c>
      <c r="F200">
        <v>6</v>
      </c>
      <c r="G200">
        <v>45</v>
      </c>
      <c r="H200">
        <v>7</v>
      </c>
      <c r="I200" t="s">
        <v>15</v>
      </c>
      <c r="J200">
        <v>130</v>
      </c>
      <c r="K200">
        <v>85</v>
      </c>
      <c r="L200">
        <v>6000</v>
      </c>
      <c r="M200" t="s">
        <v>25</v>
      </c>
      <c r="N200" t="str">
        <f>IF(Sleep_health_and_lifestyle_dataset3[[#This Row],[Sleep Duration]]&gt;=8,"Good",IF(Sleep_health_and_lifestyle_dataset3[[#This Row],[Sleep Duration]]&gt;=5,"Average","Poor"))</f>
        <v>Average</v>
      </c>
      <c r="O200" t="str">
        <f>IF(Sleep_health_and_lifestyle_dataset3[[#This Row],[Physical Activity Level]]&gt;=60,"High",IF(Sleep_health_and_lifestyle_dataset3[[#This Row],[Physical Activity Level]]&gt;=40,"Medium","Low"))</f>
        <v>Medium</v>
      </c>
    </row>
    <row r="201" spans="1:15" x14ac:dyDescent="0.25">
      <c r="A201">
        <v>200</v>
      </c>
      <c r="B201" t="s">
        <v>13</v>
      </c>
      <c r="C201">
        <v>43</v>
      </c>
      <c r="D201" t="s">
        <v>50</v>
      </c>
      <c r="E201">
        <v>6.5</v>
      </c>
      <c r="F201">
        <v>6</v>
      </c>
      <c r="G201">
        <v>45</v>
      </c>
      <c r="H201">
        <v>7</v>
      </c>
      <c r="I201" t="s">
        <v>15</v>
      </c>
      <c r="J201">
        <v>130</v>
      </c>
      <c r="K201">
        <v>85</v>
      </c>
      <c r="L201">
        <v>6000</v>
      </c>
      <c r="M201" t="s">
        <v>25</v>
      </c>
      <c r="N201" t="str">
        <f>IF(Sleep_health_and_lifestyle_dataset3[[#This Row],[Sleep Duration]]&gt;=8,"Good",IF(Sleep_health_and_lifestyle_dataset3[[#This Row],[Sleep Duration]]&gt;=5,"Average","Poor"))</f>
        <v>Average</v>
      </c>
      <c r="O201" t="str">
        <f>IF(Sleep_health_and_lifestyle_dataset3[[#This Row],[Physical Activity Level]]&gt;=60,"High",IF(Sleep_health_and_lifestyle_dataset3[[#This Row],[Physical Activity Level]]&gt;=40,"Medium","Low"))</f>
        <v>Medium</v>
      </c>
    </row>
    <row r="202" spans="1:15" x14ac:dyDescent="0.25">
      <c r="A202">
        <v>201</v>
      </c>
      <c r="B202" t="s">
        <v>13</v>
      </c>
      <c r="C202">
        <v>43</v>
      </c>
      <c r="D202" t="s">
        <v>50</v>
      </c>
      <c r="E202">
        <v>6.5</v>
      </c>
      <c r="F202">
        <v>6</v>
      </c>
      <c r="G202">
        <v>45</v>
      </c>
      <c r="H202">
        <v>7</v>
      </c>
      <c r="I202" t="s">
        <v>15</v>
      </c>
      <c r="J202">
        <v>130</v>
      </c>
      <c r="K202">
        <v>85</v>
      </c>
      <c r="L202">
        <v>6000</v>
      </c>
      <c r="M202" t="s">
        <v>25</v>
      </c>
      <c r="N202" t="str">
        <f>IF(Sleep_health_and_lifestyle_dataset3[[#This Row],[Sleep Duration]]&gt;=8,"Good",IF(Sleep_health_and_lifestyle_dataset3[[#This Row],[Sleep Duration]]&gt;=5,"Average","Poor"))</f>
        <v>Average</v>
      </c>
      <c r="O202" t="str">
        <f>IF(Sleep_health_and_lifestyle_dataset3[[#This Row],[Physical Activity Level]]&gt;=60,"High",IF(Sleep_health_and_lifestyle_dataset3[[#This Row],[Physical Activity Level]]&gt;=40,"Medium","Low"))</f>
        <v>Medium</v>
      </c>
    </row>
    <row r="203" spans="1:15" x14ac:dyDescent="0.25">
      <c r="A203">
        <v>202</v>
      </c>
      <c r="B203" t="s">
        <v>13</v>
      </c>
      <c r="C203">
        <v>43</v>
      </c>
      <c r="D203" t="s">
        <v>34</v>
      </c>
      <c r="E203">
        <v>7.8</v>
      </c>
      <c r="F203">
        <v>8</v>
      </c>
      <c r="G203">
        <v>90</v>
      </c>
      <c r="H203">
        <v>5</v>
      </c>
      <c r="I203" t="s">
        <v>19</v>
      </c>
      <c r="J203">
        <v>130</v>
      </c>
      <c r="K203">
        <v>85</v>
      </c>
      <c r="L203">
        <v>8000</v>
      </c>
      <c r="M203" t="s">
        <v>25</v>
      </c>
      <c r="N203" t="str">
        <f>IF(Sleep_health_and_lifestyle_dataset3[[#This Row],[Sleep Duration]]&gt;=8,"Good",IF(Sleep_health_and_lifestyle_dataset3[[#This Row],[Sleep Duration]]&gt;=5,"Average","Poor"))</f>
        <v>Average</v>
      </c>
      <c r="O203" t="str">
        <f>IF(Sleep_health_and_lifestyle_dataset3[[#This Row],[Physical Activity Level]]&gt;=60,"High",IF(Sleep_health_and_lifestyle_dataset3[[#This Row],[Physical Activity Level]]&gt;=40,"Medium","Low"))</f>
        <v>High</v>
      </c>
    </row>
    <row r="204" spans="1:15" x14ac:dyDescent="0.25">
      <c r="A204">
        <v>203</v>
      </c>
      <c r="B204" t="s">
        <v>13</v>
      </c>
      <c r="C204">
        <v>43</v>
      </c>
      <c r="D204" t="s">
        <v>34</v>
      </c>
      <c r="E204">
        <v>7.8</v>
      </c>
      <c r="F204">
        <v>8</v>
      </c>
      <c r="G204">
        <v>90</v>
      </c>
      <c r="H204">
        <v>5</v>
      </c>
      <c r="I204" t="s">
        <v>19</v>
      </c>
      <c r="J204">
        <v>130</v>
      </c>
      <c r="K204">
        <v>85</v>
      </c>
      <c r="L204">
        <v>8000</v>
      </c>
      <c r="M204" t="s">
        <v>25</v>
      </c>
      <c r="N204" t="str">
        <f>IF(Sleep_health_and_lifestyle_dataset3[[#This Row],[Sleep Duration]]&gt;=8,"Good",IF(Sleep_health_and_lifestyle_dataset3[[#This Row],[Sleep Duration]]&gt;=5,"Average","Poor"))</f>
        <v>Average</v>
      </c>
      <c r="O204" t="str">
        <f>IF(Sleep_health_and_lifestyle_dataset3[[#This Row],[Physical Activity Level]]&gt;=60,"High",IF(Sleep_health_and_lifestyle_dataset3[[#This Row],[Physical Activity Level]]&gt;=40,"Medium","Low"))</f>
        <v>High</v>
      </c>
    </row>
    <row r="205" spans="1:15" x14ac:dyDescent="0.25">
      <c r="A205">
        <v>204</v>
      </c>
      <c r="B205" t="s">
        <v>13</v>
      </c>
      <c r="C205">
        <v>43</v>
      </c>
      <c r="D205" t="s">
        <v>34</v>
      </c>
      <c r="E205">
        <v>6.9</v>
      </c>
      <c r="F205">
        <v>6</v>
      </c>
      <c r="G205">
        <v>47</v>
      </c>
      <c r="H205">
        <v>7</v>
      </c>
      <c r="I205" t="s">
        <v>30</v>
      </c>
      <c r="J205">
        <v>117</v>
      </c>
      <c r="K205">
        <v>76</v>
      </c>
      <c r="L205">
        <v>6800</v>
      </c>
      <c r="M205" t="s">
        <v>17</v>
      </c>
      <c r="N205" t="str">
        <f>IF(Sleep_health_and_lifestyle_dataset3[[#This Row],[Sleep Duration]]&gt;=8,"Good",IF(Sleep_health_and_lifestyle_dataset3[[#This Row],[Sleep Duration]]&gt;=5,"Average","Poor"))</f>
        <v>Average</v>
      </c>
      <c r="O205" t="str">
        <f>IF(Sleep_health_and_lifestyle_dataset3[[#This Row],[Physical Activity Level]]&gt;=60,"High",IF(Sleep_health_and_lifestyle_dataset3[[#This Row],[Physical Activity Level]]&gt;=40,"Medium","Low"))</f>
        <v>Medium</v>
      </c>
    </row>
    <row r="206" spans="1:15" x14ac:dyDescent="0.25">
      <c r="A206">
        <v>205</v>
      </c>
      <c r="B206" t="s">
        <v>13</v>
      </c>
      <c r="C206">
        <v>43</v>
      </c>
      <c r="D206" t="s">
        <v>34</v>
      </c>
      <c r="E206">
        <v>7.6</v>
      </c>
      <c r="F206">
        <v>8</v>
      </c>
      <c r="G206">
        <v>75</v>
      </c>
      <c r="H206">
        <v>4</v>
      </c>
      <c r="I206" t="s">
        <v>15</v>
      </c>
      <c r="J206">
        <v>122</v>
      </c>
      <c r="K206">
        <v>80</v>
      </c>
      <c r="L206">
        <v>6800</v>
      </c>
      <c r="M206" t="s">
        <v>17</v>
      </c>
      <c r="N206" t="str">
        <f>IF(Sleep_health_and_lifestyle_dataset3[[#This Row],[Sleep Duration]]&gt;=8,"Good",IF(Sleep_health_and_lifestyle_dataset3[[#This Row],[Sleep Duration]]&gt;=5,"Average","Poor"))</f>
        <v>Average</v>
      </c>
      <c r="O206" t="str">
        <f>IF(Sleep_health_and_lifestyle_dataset3[[#This Row],[Physical Activity Level]]&gt;=60,"High",IF(Sleep_health_and_lifestyle_dataset3[[#This Row],[Physical Activity Level]]&gt;=40,"Medium","Low"))</f>
        <v>High</v>
      </c>
    </row>
    <row r="207" spans="1:15" x14ac:dyDescent="0.25">
      <c r="A207">
        <v>206</v>
      </c>
      <c r="B207" t="s">
        <v>13</v>
      </c>
      <c r="C207">
        <v>43</v>
      </c>
      <c r="D207" t="s">
        <v>34</v>
      </c>
      <c r="E207">
        <v>7.7</v>
      </c>
      <c r="F207">
        <v>8</v>
      </c>
      <c r="G207">
        <v>90</v>
      </c>
      <c r="H207">
        <v>5</v>
      </c>
      <c r="I207" t="s">
        <v>19</v>
      </c>
      <c r="J207">
        <v>130</v>
      </c>
      <c r="K207">
        <v>85</v>
      </c>
      <c r="L207">
        <v>8000</v>
      </c>
      <c r="M207" t="s">
        <v>17</v>
      </c>
      <c r="N207" t="str">
        <f>IF(Sleep_health_and_lifestyle_dataset3[[#This Row],[Sleep Duration]]&gt;=8,"Good",IF(Sleep_health_and_lifestyle_dataset3[[#This Row],[Sleep Duration]]&gt;=5,"Average","Poor"))</f>
        <v>Average</v>
      </c>
      <c r="O207" t="str">
        <f>IF(Sleep_health_and_lifestyle_dataset3[[#This Row],[Physical Activity Level]]&gt;=60,"High",IF(Sleep_health_and_lifestyle_dataset3[[#This Row],[Physical Activity Level]]&gt;=40,"Medium","Low"))</f>
        <v>High</v>
      </c>
    </row>
    <row r="208" spans="1:15" x14ac:dyDescent="0.25">
      <c r="A208">
        <v>207</v>
      </c>
      <c r="B208" t="s">
        <v>13</v>
      </c>
      <c r="C208">
        <v>43</v>
      </c>
      <c r="D208" t="s">
        <v>34</v>
      </c>
      <c r="E208">
        <v>7.7</v>
      </c>
      <c r="F208">
        <v>8</v>
      </c>
      <c r="G208">
        <v>90</v>
      </c>
      <c r="H208">
        <v>5</v>
      </c>
      <c r="I208" t="s">
        <v>19</v>
      </c>
      <c r="J208">
        <v>130</v>
      </c>
      <c r="K208">
        <v>85</v>
      </c>
      <c r="L208">
        <v>8000</v>
      </c>
      <c r="M208" t="s">
        <v>17</v>
      </c>
      <c r="N208" t="str">
        <f>IF(Sleep_health_and_lifestyle_dataset3[[#This Row],[Sleep Duration]]&gt;=8,"Good",IF(Sleep_health_and_lifestyle_dataset3[[#This Row],[Sleep Duration]]&gt;=5,"Average","Poor"))</f>
        <v>Average</v>
      </c>
      <c r="O208" t="str">
        <f>IF(Sleep_health_and_lifestyle_dataset3[[#This Row],[Physical Activity Level]]&gt;=60,"High",IF(Sleep_health_and_lifestyle_dataset3[[#This Row],[Physical Activity Level]]&gt;=40,"Medium","Low"))</f>
        <v>High</v>
      </c>
    </row>
    <row r="209" spans="1:15" x14ac:dyDescent="0.25">
      <c r="A209">
        <v>208</v>
      </c>
      <c r="B209" t="s">
        <v>13</v>
      </c>
      <c r="C209">
        <v>43</v>
      </c>
      <c r="D209" t="s">
        <v>34</v>
      </c>
      <c r="E209">
        <v>7.7</v>
      </c>
      <c r="F209">
        <v>8</v>
      </c>
      <c r="G209">
        <v>90</v>
      </c>
      <c r="H209">
        <v>5</v>
      </c>
      <c r="I209" t="s">
        <v>19</v>
      </c>
      <c r="J209">
        <v>130</v>
      </c>
      <c r="K209">
        <v>85</v>
      </c>
      <c r="L209">
        <v>8000</v>
      </c>
      <c r="M209" t="s">
        <v>17</v>
      </c>
      <c r="N209" t="str">
        <f>IF(Sleep_health_and_lifestyle_dataset3[[#This Row],[Sleep Duration]]&gt;=8,"Good",IF(Sleep_health_and_lifestyle_dataset3[[#This Row],[Sleep Duration]]&gt;=5,"Average","Poor"))</f>
        <v>Average</v>
      </c>
      <c r="O209" t="str">
        <f>IF(Sleep_health_and_lifestyle_dataset3[[#This Row],[Physical Activity Level]]&gt;=60,"High",IF(Sleep_health_and_lifestyle_dataset3[[#This Row],[Physical Activity Level]]&gt;=40,"Medium","Low"))</f>
        <v>High</v>
      </c>
    </row>
    <row r="210" spans="1:15" x14ac:dyDescent="0.25">
      <c r="A210">
        <v>209</v>
      </c>
      <c r="B210" t="s">
        <v>13</v>
      </c>
      <c r="C210">
        <v>43</v>
      </c>
      <c r="D210" t="s">
        <v>34</v>
      </c>
      <c r="E210">
        <v>7.7</v>
      </c>
      <c r="F210">
        <v>8</v>
      </c>
      <c r="G210">
        <v>90</v>
      </c>
      <c r="H210">
        <v>5</v>
      </c>
      <c r="I210" t="s">
        <v>19</v>
      </c>
      <c r="J210">
        <v>130</v>
      </c>
      <c r="K210">
        <v>85</v>
      </c>
      <c r="L210">
        <v>8000</v>
      </c>
      <c r="M210" t="s">
        <v>17</v>
      </c>
      <c r="N210" t="str">
        <f>IF(Sleep_health_and_lifestyle_dataset3[[#This Row],[Sleep Duration]]&gt;=8,"Good",IF(Sleep_health_and_lifestyle_dataset3[[#This Row],[Sleep Duration]]&gt;=5,"Average","Poor"))</f>
        <v>Average</v>
      </c>
      <c r="O210" t="str">
        <f>IF(Sleep_health_and_lifestyle_dataset3[[#This Row],[Physical Activity Level]]&gt;=60,"High",IF(Sleep_health_and_lifestyle_dataset3[[#This Row],[Physical Activity Level]]&gt;=40,"Medium","Low"))</f>
        <v>High</v>
      </c>
    </row>
    <row r="211" spans="1:15" x14ac:dyDescent="0.25">
      <c r="A211">
        <v>210</v>
      </c>
      <c r="B211" t="s">
        <v>13</v>
      </c>
      <c r="C211">
        <v>43</v>
      </c>
      <c r="D211" t="s">
        <v>34</v>
      </c>
      <c r="E211">
        <v>7.8</v>
      </c>
      <c r="F211">
        <v>8</v>
      </c>
      <c r="G211">
        <v>90</v>
      </c>
      <c r="H211">
        <v>5</v>
      </c>
      <c r="I211" t="s">
        <v>19</v>
      </c>
      <c r="J211">
        <v>130</v>
      </c>
      <c r="K211">
        <v>85</v>
      </c>
      <c r="L211">
        <v>8000</v>
      </c>
      <c r="M211" t="s">
        <v>17</v>
      </c>
      <c r="N211" t="str">
        <f>IF(Sleep_health_and_lifestyle_dataset3[[#This Row],[Sleep Duration]]&gt;=8,"Good",IF(Sleep_health_and_lifestyle_dataset3[[#This Row],[Sleep Duration]]&gt;=5,"Average","Poor"))</f>
        <v>Average</v>
      </c>
      <c r="O211" t="str">
        <f>IF(Sleep_health_and_lifestyle_dataset3[[#This Row],[Physical Activity Level]]&gt;=60,"High",IF(Sleep_health_and_lifestyle_dataset3[[#This Row],[Physical Activity Level]]&gt;=40,"Medium","Low"))</f>
        <v>High</v>
      </c>
    </row>
    <row r="212" spans="1:15" x14ac:dyDescent="0.25">
      <c r="A212">
        <v>211</v>
      </c>
      <c r="B212" t="s">
        <v>13</v>
      </c>
      <c r="C212">
        <v>43</v>
      </c>
      <c r="D212" t="s">
        <v>34</v>
      </c>
      <c r="E212">
        <v>7.7</v>
      </c>
      <c r="F212">
        <v>8</v>
      </c>
      <c r="G212">
        <v>90</v>
      </c>
      <c r="H212">
        <v>5</v>
      </c>
      <c r="I212" t="s">
        <v>19</v>
      </c>
      <c r="J212">
        <v>130</v>
      </c>
      <c r="K212">
        <v>85</v>
      </c>
      <c r="L212">
        <v>8000</v>
      </c>
      <c r="M212" t="s">
        <v>17</v>
      </c>
      <c r="N212" t="str">
        <f>IF(Sleep_health_and_lifestyle_dataset3[[#This Row],[Sleep Duration]]&gt;=8,"Good",IF(Sleep_health_and_lifestyle_dataset3[[#This Row],[Sleep Duration]]&gt;=5,"Average","Poor"))</f>
        <v>Average</v>
      </c>
      <c r="O212" t="str">
        <f>IF(Sleep_health_and_lifestyle_dataset3[[#This Row],[Physical Activity Level]]&gt;=60,"High",IF(Sleep_health_and_lifestyle_dataset3[[#This Row],[Physical Activity Level]]&gt;=40,"Medium","Low"))</f>
        <v>High</v>
      </c>
    </row>
    <row r="213" spans="1:15" x14ac:dyDescent="0.25">
      <c r="A213">
        <v>212</v>
      </c>
      <c r="B213" t="s">
        <v>13</v>
      </c>
      <c r="C213">
        <v>43</v>
      </c>
      <c r="D213" t="s">
        <v>34</v>
      </c>
      <c r="E213">
        <v>7.8</v>
      </c>
      <c r="F213">
        <v>8</v>
      </c>
      <c r="G213">
        <v>90</v>
      </c>
      <c r="H213">
        <v>5</v>
      </c>
      <c r="I213" t="s">
        <v>19</v>
      </c>
      <c r="J213">
        <v>130</v>
      </c>
      <c r="K213">
        <v>85</v>
      </c>
      <c r="L213">
        <v>8000</v>
      </c>
      <c r="M213" t="s">
        <v>17</v>
      </c>
      <c r="N213" t="str">
        <f>IF(Sleep_health_and_lifestyle_dataset3[[#This Row],[Sleep Duration]]&gt;=8,"Good",IF(Sleep_health_and_lifestyle_dataset3[[#This Row],[Sleep Duration]]&gt;=5,"Average","Poor"))</f>
        <v>Average</v>
      </c>
      <c r="O213" t="str">
        <f>IF(Sleep_health_and_lifestyle_dataset3[[#This Row],[Physical Activity Level]]&gt;=60,"High",IF(Sleep_health_and_lifestyle_dataset3[[#This Row],[Physical Activity Level]]&gt;=40,"Medium","Low"))</f>
        <v>High</v>
      </c>
    </row>
    <row r="214" spans="1:15" x14ac:dyDescent="0.25">
      <c r="A214">
        <v>213</v>
      </c>
      <c r="B214" t="s">
        <v>13</v>
      </c>
      <c r="C214">
        <v>43</v>
      </c>
      <c r="D214" t="s">
        <v>34</v>
      </c>
      <c r="E214">
        <v>7.8</v>
      </c>
      <c r="F214">
        <v>8</v>
      </c>
      <c r="G214">
        <v>90</v>
      </c>
      <c r="H214">
        <v>5</v>
      </c>
      <c r="I214" t="s">
        <v>19</v>
      </c>
      <c r="J214">
        <v>130</v>
      </c>
      <c r="K214">
        <v>85</v>
      </c>
      <c r="L214">
        <v>8000</v>
      </c>
      <c r="M214" t="s">
        <v>17</v>
      </c>
      <c r="N214" t="str">
        <f>IF(Sleep_health_and_lifestyle_dataset3[[#This Row],[Sleep Duration]]&gt;=8,"Good",IF(Sleep_health_and_lifestyle_dataset3[[#This Row],[Sleep Duration]]&gt;=5,"Average","Poor"))</f>
        <v>Average</v>
      </c>
      <c r="O214" t="str">
        <f>IF(Sleep_health_and_lifestyle_dataset3[[#This Row],[Physical Activity Level]]&gt;=60,"High",IF(Sleep_health_and_lifestyle_dataset3[[#This Row],[Physical Activity Level]]&gt;=40,"Medium","Low"))</f>
        <v>High</v>
      </c>
    </row>
    <row r="215" spans="1:15" x14ac:dyDescent="0.25">
      <c r="A215">
        <v>214</v>
      </c>
      <c r="B215" t="s">
        <v>13</v>
      </c>
      <c r="C215">
        <v>43</v>
      </c>
      <c r="D215" t="s">
        <v>34</v>
      </c>
      <c r="E215">
        <v>7.8</v>
      </c>
      <c r="F215">
        <v>8</v>
      </c>
      <c r="G215">
        <v>90</v>
      </c>
      <c r="H215">
        <v>5</v>
      </c>
      <c r="I215" t="s">
        <v>19</v>
      </c>
      <c r="J215">
        <v>130</v>
      </c>
      <c r="K215">
        <v>85</v>
      </c>
      <c r="L215">
        <v>8000</v>
      </c>
      <c r="M215" t="s">
        <v>17</v>
      </c>
      <c r="N215" t="str">
        <f>IF(Sleep_health_and_lifestyle_dataset3[[#This Row],[Sleep Duration]]&gt;=8,"Good",IF(Sleep_health_and_lifestyle_dataset3[[#This Row],[Sleep Duration]]&gt;=5,"Average","Poor"))</f>
        <v>Average</v>
      </c>
      <c r="O215" t="str">
        <f>IF(Sleep_health_and_lifestyle_dataset3[[#This Row],[Physical Activity Level]]&gt;=60,"High",IF(Sleep_health_and_lifestyle_dataset3[[#This Row],[Physical Activity Level]]&gt;=40,"Medium","Low"))</f>
        <v>High</v>
      </c>
    </row>
    <row r="216" spans="1:15" x14ac:dyDescent="0.25">
      <c r="A216">
        <v>215</v>
      </c>
      <c r="B216" t="s">
        <v>13</v>
      </c>
      <c r="C216">
        <v>43</v>
      </c>
      <c r="D216" t="s">
        <v>34</v>
      </c>
      <c r="E216">
        <v>7.8</v>
      </c>
      <c r="F216">
        <v>8</v>
      </c>
      <c r="G216">
        <v>90</v>
      </c>
      <c r="H216">
        <v>5</v>
      </c>
      <c r="I216" t="s">
        <v>19</v>
      </c>
      <c r="J216">
        <v>130</v>
      </c>
      <c r="K216">
        <v>85</v>
      </c>
      <c r="L216">
        <v>8000</v>
      </c>
      <c r="M216" t="s">
        <v>17</v>
      </c>
      <c r="N216" t="str">
        <f>IF(Sleep_health_and_lifestyle_dataset3[[#This Row],[Sleep Duration]]&gt;=8,"Good",IF(Sleep_health_and_lifestyle_dataset3[[#This Row],[Sleep Duration]]&gt;=5,"Average","Poor"))</f>
        <v>Average</v>
      </c>
      <c r="O216" t="str">
        <f>IF(Sleep_health_and_lifestyle_dataset3[[#This Row],[Physical Activity Level]]&gt;=60,"High",IF(Sleep_health_and_lifestyle_dataset3[[#This Row],[Physical Activity Level]]&gt;=40,"Medium","Low"))</f>
        <v>High</v>
      </c>
    </row>
    <row r="217" spans="1:15" x14ac:dyDescent="0.25">
      <c r="A217">
        <v>216</v>
      </c>
      <c r="B217" t="s">
        <v>13</v>
      </c>
      <c r="C217">
        <v>43</v>
      </c>
      <c r="D217" t="s">
        <v>34</v>
      </c>
      <c r="E217">
        <v>7.8</v>
      </c>
      <c r="F217">
        <v>8</v>
      </c>
      <c r="G217">
        <v>90</v>
      </c>
      <c r="H217">
        <v>5</v>
      </c>
      <c r="I217" t="s">
        <v>19</v>
      </c>
      <c r="J217">
        <v>130</v>
      </c>
      <c r="K217">
        <v>85</v>
      </c>
      <c r="L217">
        <v>8000</v>
      </c>
      <c r="M217" t="s">
        <v>17</v>
      </c>
      <c r="N217" t="str">
        <f>IF(Sleep_health_and_lifestyle_dataset3[[#This Row],[Sleep Duration]]&gt;=8,"Good",IF(Sleep_health_and_lifestyle_dataset3[[#This Row],[Sleep Duration]]&gt;=5,"Average","Poor"))</f>
        <v>Average</v>
      </c>
      <c r="O217" t="str">
        <f>IF(Sleep_health_and_lifestyle_dataset3[[#This Row],[Physical Activity Level]]&gt;=60,"High",IF(Sleep_health_and_lifestyle_dataset3[[#This Row],[Physical Activity Level]]&gt;=40,"Medium","Low"))</f>
        <v>High</v>
      </c>
    </row>
    <row r="218" spans="1:15" x14ac:dyDescent="0.25">
      <c r="A218">
        <v>217</v>
      </c>
      <c r="B218" t="s">
        <v>13</v>
      </c>
      <c r="C218">
        <v>43</v>
      </c>
      <c r="D218" t="s">
        <v>34</v>
      </c>
      <c r="E218">
        <v>7.8</v>
      </c>
      <c r="F218">
        <v>8</v>
      </c>
      <c r="G218">
        <v>90</v>
      </c>
      <c r="H218">
        <v>5</v>
      </c>
      <c r="I218" t="s">
        <v>19</v>
      </c>
      <c r="J218">
        <v>130</v>
      </c>
      <c r="K218">
        <v>85</v>
      </c>
      <c r="L218">
        <v>8000</v>
      </c>
      <c r="M218" t="s">
        <v>17</v>
      </c>
      <c r="N218" t="str">
        <f>IF(Sleep_health_and_lifestyle_dataset3[[#This Row],[Sleep Duration]]&gt;=8,"Good",IF(Sleep_health_and_lifestyle_dataset3[[#This Row],[Sleep Duration]]&gt;=5,"Average","Poor"))</f>
        <v>Average</v>
      </c>
      <c r="O218" t="str">
        <f>IF(Sleep_health_and_lifestyle_dataset3[[#This Row],[Physical Activity Level]]&gt;=60,"High",IF(Sleep_health_and_lifestyle_dataset3[[#This Row],[Physical Activity Level]]&gt;=40,"Medium","Low"))</f>
        <v>High</v>
      </c>
    </row>
    <row r="219" spans="1:15" x14ac:dyDescent="0.25">
      <c r="A219">
        <v>218</v>
      </c>
      <c r="B219" t="s">
        <v>13</v>
      </c>
      <c r="C219">
        <v>43</v>
      </c>
      <c r="D219" t="s">
        <v>34</v>
      </c>
      <c r="E219">
        <v>7.8</v>
      </c>
      <c r="F219">
        <v>8</v>
      </c>
      <c r="G219">
        <v>90</v>
      </c>
      <c r="H219">
        <v>5</v>
      </c>
      <c r="I219" t="s">
        <v>19</v>
      </c>
      <c r="J219">
        <v>130</v>
      </c>
      <c r="K219">
        <v>85</v>
      </c>
      <c r="L219">
        <v>8000</v>
      </c>
      <c r="M219" t="s">
        <v>17</v>
      </c>
      <c r="N219" t="str">
        <f>IF(Sleep_health_and_lifestyle_dataset3[[#This Row],[Sleep Duration]]&gt;=8,"Good",IF(Sleep_health_and_lifestyle_dataset3[[#This Row],[Sleep Duration]]&gt;=5,"Average","Poor"))</f>
        <v>Average</v>
      </c>
      <c r="O219" t="str">
        <f>IF(Sleep_health_and_lifestyle_dataset3[[#This Row],[Physical Activity Level]]&gt;=60,"High",IF(Sleep_health_and_lifestyle_dataset3[[#This Row],[Physical Activity Level]]&gt;=40,"Medium","Low"))</f>
        <v>High</v>
      </c>
    </row>
    <row r="220" spans="1:15" x14ac:dyDescent="0.25">
      <c r="A220">
        <v>219</v>
      </c>
      <c r="B220" t="s">
        <v>13</v>
      </c>
      <c r="C220">
        <v>43</v>
      </c>
      <c r="D220" t="s">
        <v>34</v>
      </c>
      <c r="E220">
        <v>7.8</v>
      </c>
      <c r="F220">
        <v>8</v>
      </c>
      <c r="G220">
        <v>90</v>
      </c>
      <c r="H220">
        <v>5</v>
      </c>
      <c r="I220" t="s">
        <v>19</v>
      </c>
      <c r="J220">
        <v>130</v>
      </c>
      <c r="K220">
        <v>85</v>
      </c>
      <c r="L220">
        <v>8000</v>
      </c>
      <c r="M220" t="s">
        <v>24</v>
      </c>
      <c r="N220" t="str">
        <f>IF(Sleep_health_and_lifestyle_dataset3[[#This Row],[Sleep Duration]]&gt;=8,"Good",IF(Sleep_health_and_lifestyle_dataset3[[#This Row],[Sleep Duration]]&gt;=5,"Average","Poor"))</f>
        <v>Average</v>
      </c>
      <c r="O220" t="str">
        <f>IF(Sleep_health_and_lifestyle_dataset3[[#This Row],[Physical Activity Level]]&gt;=60,"High",IF(Sleep_health_and_lifestyle_dataset3[[#This Row],[Physical Activity Level]]&gt;=40,"Medium","Low"))</f>
        <v>High</v>
      </c>
    </row>
    <row r="221" spans="1:15" x14ac:dyDescent="0.25">
      <c r="A221">
        <v>220</v>
      </c>
      <c r="B221" t="s">
        <v>13</v>
      </c>
      <c r="C221">
        <v>43</v>
      </c>
      <c r="D221" t="s">
        <v>50</v>
      </c>
      <c r="E221">
        <v>6.5</v>
      </c>
      <c r="F221">
        <v>6</v>
      </c>
      <c r="G221">
        <v>45</v>
      </c>
      <c r="H221">
        <v>7</v>
      </c>
      <c r="I221" t="s">
        <v>15</v>
      </c>
      <c r="J221">
        <v>130</v>
      </c>
      <c r="K221">
        <v>85</v>
      </c>
      <c r="L221">
        <v>6000</v>
      </c>
      <c r="M221" t="s">
        <v>24</v>
      </c>
      <c r="N221" t="str">
        <f>IF(Sleep_health_and_lifestyle_dataset3[[#This Row],[Sleep Duration]]&gt;=8,"Good",IF(Sleep_health_and_lifestyle_dataset3[[#This Row],[Sleep Duration]]&gt;=5,"Average","Poor"))</f>
        <v>Average</v>
      </c>
      <c r="O221" t="str">
        <f>IF(Sleep_health_and_lifestyle_dataset3[[#This Row],[Physical Activity Level]]&gt;=60,"High",IF(Sleep_health_and_lifestyle_dataset3[[#This Row],[Physical Activity Level]]&gt;=40,"Medium","Low"))</f>
        <v>Medium</v>
      </c>
    </row>
    <row r="222" spans="1:15" x14ac:dyDescent="0.25">
      <c r="A222">
        <v>221</v>
      </c>
      <c r="B222" t="s">
        <v>28</v>
      </c>
      <c r="C222">
        <v>44</v>
      </c>
      <c r="D222" t="s">
        <v>26</v>
      </c>
      <c r="E222">
        <v>6.6</v>
      </c>
      <c r="F222">
        <v>7</v>
      </c>
      <c r="G222">
        <v>45</v>
      </c>
      <c r="H222">
        <v>4</v>
      </c>
      <c r="I222" t="s">
        <v>15</v>
      </c>
      <c r="J222">
        <v>135</v>
      </c>
      <c r="K222">
        <v>90</v>
      </c>
      <c r="L222">
        <v>6000</v>
      </c>
      <c r="M222" t="s">
        <v>25</v>
      </c>
      <c r="N222" t="str">
        <f>IF(Sleep_health_and_lifestyle_dataset3[[#This Row],[Sleep Duration]]&gt;=8,"Good",IF(Sleep_health_and_lifestyle_dataset3[[#This Row],[Sleep Duration]]&gt;=5,"Average","Poor"))</f>
        <v>Average</v>
      </c>
      <c r="O222" t="str">
        <f>IF(Sleep_health_and_lifestyle_dataset3[[#This Row],[Physical Activity Level]]&gt;=60,"High",IF(Sleep_health_and_lifestyle_dataset3[[#This Row],[Physical Activity Level]]&gt;=40,"Medium","Low"))</f>
        <v>Medium</v>
      </c>
    </row>
    <row r="223" spans="1:15" x14ac:dyDescent="0.25">
      <c r="A223">
        <v>222</v>
      </c>
      <c r="B223" t="s">
        <v>13</v>
      </c>
      <c r="C223">
        <v>44</v>
      </c>
      <c r="D223" t="s">
        <v>50</v>
      </c>
      <c r="E223">
        <v>6.4</v>
      </c>
      <c r="F223">
        <v>6</v>
      </c>
      <c r="G223">
        <v>45</v>
      </c>
      <c r="H223">
        <v>7</v>
      </c>
      <c r="I223" t="s">
        <v>15</v>
      </c>
      <c r="J223">
        <v>130</v>
      </c>
      <c r="K223">
        <v>85</v>
      </c>
      <c r="L223">
        <v>6000</v>
      </c>
      <c r="M223" t="s">
        <v>25</v>
      </c>
      <c r="N223" t="str">
        <f>IF(Sleep_health_and_lifestyle_dataset3[[#This Row],[Sleep Duration]]&gt;=8,"Good",IF(Sleep_health_and_lifestyle_dataset3[[#This Row],[Sleep Duration]]&gt;=5,"Average","Poor"))</f>
        <v>Average</v>
      </c>
      <c r="O223" t="str">
        <f>IF(Sleep_health_and_lifestyle_dataset3[[#This Row],[Physical Activity Level]]&gt;=60,"High",IF(Sleep_health_and_lifestyle_dataset3[[#This Row],[Physical Activity Level]]&gt;=40,"Medium","Low"))</f>
        <v>Medium</v>
      </c>
    </row>
    <row r="224" spans="1:15" x14ac:dyDescent="0.25">
      <c r="A224">
        <v>223</v>
      </c>
      <c r="B224" t="s">
        <v>13</v>
      </c>
      <c r="C224">
        <v>44</v>
      </c>
      <c r="D224" t="s">
        <v>50</v>
      </c>
      <c r="E224">
        <v>6.3</v>
      </c>
      <c r="F224">
        <v>6</v>
      </c>
      <c r="G224">
        <v>45</v>
      </c>
      <c r="H224">
        <v>7</v>
      </c>
      <c r="I224" t="s">
        <v>15</v>
      </c>
      <c r="J224">
        <v>130</v>
      </c>
      <c r="K224">
        <v>85</v>
      </c>
      <c r="L224">
        <v>6000</v>
      </c>
      <c r="M224" t="s">
        <v>25</v>
      </c>
      <c r="N224" t="str">
        <f>IF(Sleep_health_and_lifestyle_dataset3[[#This Row],[Sleep Duration]]&gt;=8,"Good",IF(Sleep_health_and_lifestyle_dataset3[[#This Row],[Sleep Duration]]&gt;=5,"Average","Poor"))</f>
        <v>Average</v>
      </c>
      <c r="O224" t="str">
        <f>IF(Sleep_health_and_lifestyle_dataset3[[#This Row],[Physical Activity Level]]&gt;=60,"High",IF(Sleep_health_and_lifestyle_dataset3[[#This Row],[Physical Activity Level]]&gt;=40,"Medium","Low"))</f>
        <v>Medium</v>
      </c>
    </row>
    <row r="225" spans="1:15" x14ac:dyDescent="0.25">
      <c r="A225">
        <v>224</v>
      </c>
      <c r="B225" t="s">
        <v>13</v>
      </c>
      <c r="C225">
        <v>44</v>
      </c>
      <c r="D225" t="s">
        <v>50</v>
      </c>
      <c r="E225">
        <v>6.4</v>
      </c>
      <c r="F225">
        <v>6</v>
      </c>
      <c r="G225">
        <v>45</v>
      </c>
      <c r="H225">
        <v>7</v>
      </c>
      <c r="I225" t="s">
        <v>15</v>
      </c>
      <c r="J225">
        <v>130</v>
      </c>
      <c r="K225">
        <v>85</v>
      </c>
      <c r="L225">
        <v>6000</v>
      </c>
      <c r="M225" t="s">
        <v>25</v>
      </c>
      <c r="N225" t="str">
        <f>IF(Sleep_health_and_lifestyle_dataset3[[#This Row],[Sleep Duration]]&gt;=8,"Good",IF(Sleep_health_and_lifestyle_dataset3[[#This Row],[Sleep Duration]]&gt;=5,"Average","Poor"))</f>
        <v>Average</v>
      </c>
      <c r="O225" t="str">
        <f>IF(Sleep_health_and_lifestyle_dataset3[[#This Row],[Physical Activity Level]]&gt;=60,"High",IF(Sleep_health_and_lifestyle_dataset3[[#This Row],[Physical Activity Level]]&gt;=40,"Medium","Low"))</f>
        <v>Medium</v>
      </c>
    </row>
    <row r="226" spans="1:15" x14ac:dyDescent="0.25">
      <c r="A226">
        <v>225</v>
      </c>
      <c r="B226" t="s">
        <v>28</v>
      </c>
      <c r="C226">
        <v>44</v>
      </c>
      <c r="D226" t="s">
        <v>26</v>
      </c>
      <c r="E226">
        <v>6.6</v>
      </c>
      <c r="F226">
        <v>7</v>
      </c>
      <c r="G226">
        <v>45</v>
      </c>
      <c r="H226">
        <v>4</v>
      </c>
      <c r="I226" t="s">
        <v>15</v>
      </c>
      <c r="J226">
        <v>135</v>
      </c>
      <c r="K226">
        <v>90</v>
      </c>
      <c r="L226">
        <v>6000</v>
      </c>
      <c r="M226" t="s">
        <v>25</v>
      </c>
      <c r="N226" t="str">
        <f>IF(Sleep_health_and_lifestyle_dataset3[[#This Row],[Sleep Duration]]&gt;=8,"Good",IF(Sleep_health_and_lifestyle_dataset3[[#This Row],[Sleep Duration]]&gt;=5,"Average","Poor"))</f>
        <v>Average</v>
      </c>
      <c r="O226" t="str">
        <f>IF(Sleep_health_and_lifestyle_dataset3[[#This Row],[Physical Activity Level]]&gt;=60,"High",IF(Sleep_health_and_lifestyle_dataset3[[#This Row],[Physical Activity Level]]&gt;=40,"Medium","Low"))</f>
        <v>Medium</v>
      </c>
    </row>
    <row r="227" spans="1:15" x14ac:dyDescent="0.25">
      <c r="A227">
        <v>226</v>
      </c>
      <c r="B227" t="s">
        <v>13</v>
      </c>
      <c r="C227">
        <v>44</v>
      </c>
      <c r="D227" t="s">
        <v>50</v>
      </c>
      <c r="E227">
        <v>6.3</v>
      </c>
      <c r="F227">
        <v>6</v>
      </c>
      <c r="G227">
        <v>45</v>
      </c>
      <c r="H227">
        <v>7</v>
      </c>
      <c r="I227" t="s">
        <v>15</v>
      </c>
      <c r="J227">
        <v>130</v>
      </c>
      <c r="K227">
        <v>85</v>
      </c>
      <c r="L227">
        <v>6000</v>
      </c>
      <c r="M227" t="s">
        <v>25</v>
      </c>
      <c r="N227" t="str">
        <f>IF(Sleep_health_and_lifestyle_dataset3[[#This Row],[Sleep Duration]]&gt;=8,"Good",IF(Sleep_health_and_lifestyle_dataset3[[#This Row],[Sleep Duration]]&gt;=5,"Average","Poor"))</f>
        <v>Average</v>
      </c>
      <c r="O227" t="str">
        <f>IF(Sleep_health_and_lifestyle_dataset3[[#This Row],[Physical Activity Level]]&gt;=60,"High",IF(Sleep_health_and_lifestyle_dataset3[[#This Row],[Physical Activity Level]]&gt;=40,"Medium","Low"))</f>
        <v>Medium</v>
      </c>
    </row>
    <row r="228" spans="1:15" x14ac:dyDescent="0.25">
      <c r="A228">
        <v>227</v>
      </c>
      <c r="B228" t="s">
        <v>28</v>
      </c>
      <c r="C228">
        <v>44</v>
      </c>
      <c r="D228" t="s">
        <v>26</v>
      </c>
      <c r="E228">
        <v>6.6</v>
      </c>
      <c r="F228">
        <v>7</v>
      </c>
      <c r="G228">
        <v>45</v>
      </c>
      <c r="H228">
        <v>4</v>
      </c>
      <c r="I228" t="s">
        <v>15</v>
      </c>
      <c r="J228">
        <v>135</v>
      </c>
      <c r="K228">
        <v>90</v>
      </c>
      <c r="L228">
        <v>6000</v>
      </c>
      <c r="M228" t="s">
        <v>25</v>
      </c>
      <c r="N228" t="str">
        <f>IF(Sleep_health_and_lifestyle_dataset3[[#This Row],[Sleep Duration]]&gt;=8,"Good",IF(Sleep_health_and_lifestyle_dataset3[[#This Row],[Sleep Duration]]&gt;=5,"Average","Poor"))</f>
        <v>Average</v>
      </c>
      <c r="O228" t="str">
        <f>IF(Sleep_health_and_lifestyle_dataset3[[#This Row],[Physical Activity Level]]&gt;=60,"High",IF(Sleep_health_and_lifestyle_dataset3[[#This Row],[Physical Activity Level]]&gt;=40,"Medium","Low"))</f>
        <v>Medium</v>
      </c>
    </row>
    <row r="229" spans="1:15" x14ac:dyDescent="0.25">
      <c r="A229">
        <v>228</v>
      </c>
      <c r="B229" t="s">
        <v>13</v>
      </c>
      <c r="C229">
        <v>44</v>
      </c>
      <c r="D229" t="s">
        <v>50</v>
      </c>
      <c r="E229">
        <v>6.3</v>
      </c>
      <c r="F229">
        <v>6</v>
      </c>
      <c r="G229">
        <v>45</v>
      </c>
      <c r="H229">
        <v>7</v>
      </c>
      <c r="I229" t="s">
        <v>15</v>
      </c>
      <c r="J229">
        <v>130</v>
      </c>
      <c r="K229">
        <v>85</v>
      </c>
      <c r="L229">
        <v>6000</v>
      </c>
      <c r="M229" t="s">
        <v>25</v>
      </c>
      <c r="N229" t="str">
        <f>IF(Sleep_health_and_lifestyle_dataset3[[#This Row],[Sleep Duration]]&gt;=8,"Good",IF(Sleep_health_and_lifestyle_dataset3[[#This Row],[Sleep Duration]]&gt;=5,"Average","Poor"))</f>
        <v>Average</v>
      </c>
      <c r="O229" t="str">
        <f>IF(Sleep_health_and_lifestyle_dataset3[[#This Row],[Physical Activity Level]]&gt;=60,"High",IF(Sleep_health_and_lifestyle_dataset3[[#This Row],[Physical Activity Level]]&gt;=40,"Medium","Low"))</f>
        <v>Medium</v>
      </c>
    </row>
    <row r="230" spans="1:15" x14ac:dyDescent="0.25">
      <c r="A230">
        <v>229</v>
      </c>
      <c r="B230" t="s">
        <v>28</v>
      </c>
      <c r="C230">
        <v>44</v>
      </c>
      <c r="D230" t="s">
        <v>26</v>
      </c>
      <c r="E230">
        <v>6.6</v>
      </c>
      <c r="F230">
        <v>7</v>
      </c>
      <c r="G230">
        <v>45</v>
      </c>
      <c r="H230">
        <v>4</v>
      </c>
      <c r="I230" t="s">
        <v>15</v>
      </c>
      <c r="J230">
        <v>135</v>
      </c>
      <c r="K230">
        <v>90</v>
      </c>
      <c r="L230">
        <v>6000</v>
      </c>
      <c r="M230" t="s">
        <v>25</v>
      </c>
      <c r="N230" t="str">
        <f>IF(Sleep_health_and_lifestyle_dataset3[[#This Row],[Sleep Duration]]&gt;=8,"Good",IF(Sleep_health_and_lifestyle_dataset3[[#This Row],[Sleep Duration]]&gt;=5,"Average","Poor"))</f>
        <v>Average</v>
      </c>
      <c r="O230" t="str">
        <f>IF(Sleep_health_and_lifestyle_dataset3[[#This Row],[Physical Activity Level]]&gt;=60,"High",IF(Sleep_health_and_lifestyle_dataset3[[#This Row],[Physical Activity Level]]&gt;=40,"Medium","Low"))</f>
        <v>Medium</v>
      </c>
    </row>
    <row r="231" spans="1:15" x14ac:dyDescent="0.25">
      <c r="A231">
        <v>230</v>
      </c>
      <c r="B231" t="s">
        <v>13</v>
      </c>
      <c r="C231">
        <v>44</v>
      </c>
      <c r="D231" t="s">
        <v>50</v>
      </c>
      <c r="E231">
        <v>6.3</v>
      </c>
      <c r="F231">
        <v>6</v>
      </c>
      <c r="G231">
        <v>45</v>
      </c>
      <c r="H231">
        <v>7</v>
      </c>
      <c r="I231" t="s">
        <v>15</v>
      </c>
      <c r="J231">
        <v>130</v>
      </c>
      <c r="K231">
        <v>85</v>
      </c>
      <c r="L231">
        <v>6000</v>
      </c>
      <c r="M231" t="s">
        <v>25</v>
      </c>
      <c r="N231" t="str">
        <f>IF(Sleep_health_and_lifestyle_dataset3[[#This Row],[Sleep Duration]]&gt;=8,"Good",IF(Sleep_health_and_lifestyle_dataset3[[#This Row],[Sleep Duration]]&gt;=5,"Average","Poor"))</f>
        <v>Average</v>
      </c>
      <c r="O231" t="str">
        <f>IF(Sleep_health_and_lifestyle_dataset3[[#This Row],[Physical Activity Level]]&gt;=60,"High",IF(Sleep_health_and_lifestyle_dataset3[[#This Row],[Physical Activity Level]]&gt;=40,"Medium","Low"))</f>
        <v>Medium</v>
      </c>
    </row>
    <row r="232" spans="1:15" x14ac:dyDescent="0.25">
      <c r="A232">
        <v>231</v>
      </c>
      <c r="B232" t="s">
        <v>28</v>
      </c>
      <c r="C232">
        <v>44</v>
      </c>
      <c r="D232" t="s">
        <v>26</v>
      </c>
      <c r="E232">
        <v>6.6</v>
      </c>
      <c r="F232">
        <v>7</v>
      </c>
      <c r="G232">
        <v>45</v>
      </c>
      <c r="H232">
        <v>4</v>
      </c>
      <c r="I232" t="s">
        <v>15</v>
      </c>
      <c r="J232">
        <v>135</v>
      </c>
      <c r="K232">
        <v>90</v>
      </c>
      <c r="L232">
        <v>6000</v>
      </c>
      <c r="M232" t="s">
        <v>25</v>
      </c>
      <c r="N232" t="str">
        <f>IF(Sleep_health_and_lifestyle_dataset3[[#This Row],[Sleep Duration]]&gt;=8,"Good",IF(Sleep_health_and_lifestyle_dataset3[[#This Row],[Sleep Duration]]&gt;=5,"Average","Poor"))</f>
        <v>Average</v>
      </c>
      <c r="O232" t="str">
        <f>IF(Sleep_health_and_lifestyle_dataset3[[#This Row],[Physical Activity Level]]&gt;=60,"High",IF(Sleep_health_and_lifestyle_dataset3[[#This Row],[Physical Activity Level]]&gt;=40,"Medium","Low"))</f>
        <v>Medium</v>
      </c>
    </row>
    <row r="233" spans="1:15" x14ac:dyDescent="0.25">
      <c r="A233">
        <v>232</v>
      </c>
      <c r="B233" t="s">
        <v>13</v>
      </c>
      <c r="C233">
        <v>44</v>
      </c>
      <c r="D233" t="s">
        <v>50</v>
      </c>
      <c r="E233">
        <v>6.3</v>
      </c>
      <c r="F233">
        <v>6</v>
      </c>
      <c r="G233">
        <v>45</v>
      </c>
      <c r="H233">
        <v>7</v>
      </c>
      <c r="I233" t="s">
        <v>15</v>
      </c>
      <c r="J233">
        <v>130</v>
      </c>
      <c r="K233">
        <v>85</v>
      </c>
      <c r="L233">
        <v>6000</v>
      </c>
      <c r="M233" t="s">
        <v>25</v>
      </c>
      <c r="N233" t="str">
        <f>IF(Sleep_health_and_lifestyle_dataset3[[#This Row],[Sleep Duration]]&gt;=8,"Good",IF(Sleep_health_and_lifestyle_dataset3[[#This Row],[Sleep Duration]]&gt;=5,"Average","Poor"))</f>
        <v>Average</v>
      </c>
      <c r="O233" t="str">
        <f>IF(Sleep_health_and_lifestyle_dataset3[[#This Row],[Physical Activity Level]]&gt;=60,"High",IF(Sleep_health_and_lifestyle_dataset3[[#This Row],[Physical Activity Level]]&gt;=40,"Medium","Low"))</f>
        <v>Medium</v>
      </c>
    </row>
    <row r="234" spans="1:15" x14ac:dyDescent="0.25">
      <c r="A234">
        <v>233</v>
      </c>
      <c r="B234" t="s">
        <v>28</v>
      </c>
      <c r="C234">
        <v>44</v>
      </c>
      <c r="D234" t="s">
        <v>26</v>
      </c>
      <c r="E234">
        <v>6.6</v>
      </c>
      <c r="F234">
        <v>7</v>
      </c>
      <c r="G234">
        <v>45</v>
      </c>
      <c r="H234">
        <v>4</v>
      </c>
      <c r="I234" t="s">
        <v>15</v>
      </c>
      <c r="J234">
        <v>135</v>
      </c>
      <c r="K234">
        <v>90</v>
      </c>
      <c r="L234">
        <v>6000</v>
      </c>
      <c r="M234" t="s">
        <v>25</v>
      </c>
      <c r="N234" t="str">
        <f>IF(Sleep_health_and_lifestyle_dataset3[[#This Row],[Sleep Duration]]&gt;=8,"Good",IF(Sleep_health_and_lifestyle_dataset3[[#This Row],[Sleep Duration]]&gt;=5,"Average","Poor"))</f>
        <v>Average</v>
      </c>
      <c r="O234" t="str">
        <f>IF(Sleep_health_and_lifestyle_dataset3[[#This Row],[Physical Activity Level]]&gt;=60,"High",IF(Sleep_health_and_lifestyle_dataset3[[#This Row],[Physical Activity Level]]&gt;=40,"Medium","Low"))</f>
        <v>Medium</v>
      </c>
    </row>
    <row r="235" spans="1:15" x14ac:dyDescent="0.25">
      <c r="A235">
        <v>234</v>
      </c>
      <c r="B235" t="s">
        <v>13</v>
      </c>
      <c r="C235">
        <v>44</v>
      </c>
      <c r="D235" t="s">
        <v>50</v>
      </c>
      <c r="E235">
        <v>6.3</v>
      </c>
      <c r="F235">
        <v>6</v>
      </c>
      <c r="G235">
        <v>45</v>
      </c>
      <c r="H235">
        <v>7</v>
      </c>
      <c r="I235" t="s">
        <v>15</v>
      </c>
      <c r="J235">
        <v>130</v>
      </c>
      <c r="K235">
        <v>85</v>
      </c>
      <c r="L235">
        <v>6000</v>
      </c>
      <c r="M235" t="s">
        <v>25</v>
      </c>
      <c r="N235" t="str">
        <f>IF(Sleep_health_and_lifestyle_dataset3[[#This Row],[Sleep Duration]]&gt;=8,"Good",IF(Sleep_health_and_lifestyle_dataset3[[#This Row],[Sleep Duration]]&gt;=5,"Average","Poor"))</f>
        <v>Average</v>
      </c>
      <c r="O235" t="str">
        <f>IF(Sleep_health_and_lifestyle_dataset3[[#This Row],[Physical Activity Level]]&gt;=60,"High",IF(Sleep_health_and_lifestyle_dataset3[[#This Row],[Physical Activity Level]]&gt;=40,"Medium","Low"))</f>
        <v>Medium</v>
      </c>
    </row>
    <row r="236" spans="1:15" x14ac:dyDescent="0.25">
      <c r="A236">
        <v>235</v>
      </c>
      <c r="B236" t="s">
        <v>28</v>
      </c>
      <c r="C236">
        <v>44</v>
      </c>
      <c r="D236" t="s">
        <v>26</v>
      </c>
      <c r="E236">
        <v>6.6</v>
      </c>
      <c r="F236">
        <v>7</v>
      </c>
      <c r="G236">
        <v>45</v>
      </c>
      <c r="H236">
        <v>4</v>
      </c>
      <c r="I236" t="s">
        <v>15</v>
      </c>
      <c r="J236">
        <v>135</v>
      </c>
      <c r="K236">
        <v>90</v>
      </c>
      <c r="L236">
        <v>6000</v>
      </c>
      <c r="M236" t="s">
        <v>25</v>
      </c>
      <c r="N236" t="str">
        <f>IF(Sleep_health_and_lifestyle_dataset3[[#This Row],[Sleep Duration]]&gt;=8,"Good",IF(Sleep_health_and_lifestyle_dataset3[[#This Row],[Sleep Duration]]&gt;=5,"Average","Poor"))</f>
        <v>Average</v>
      </c>
      <c r="O236" t="str">
        <f>IF(Sleep_health_and_lifestyle_dataset3[[#This Row],[Physical Activity Level]]&gt;=60,"High",IF(Sleep_health_and_lifestyle_dataset3[[#This Row],[Physical Activity Level]]&gt;=40,"Medium","Low"))</f>
        <v>Medium</v>
      </c>
    </row>
    <row r="237" spans="1:15" x14ac:dyDescent="0.25">
      <c r="A237">
        <v>236</v>
      </c>
      <c r="B237" t="s">
        <v>13</v>
      </c>
      <c r="C237">
        <v>44</v>
      </c>
      <c r="D237" t="s">
        <v>50</v>
      </c>
      <c r="E237">
        <v>6.3</v>
      </c>
      <c r="F237">
        <v>6</v>
      </c>
      <c r="G237">
        <v>45</v>
      </c>
      <c r="H237">
        <v>7</v>
      </c>
      <c r="I237" t="s">
        <v>15</v>
      </c>
      <c r="J237">
        <v>130</v>
      </c>
      <c r="K237">
        <v>85</v>
      </c>
      <c r="L237">
        <v>6000</v>
      </c>
      <c r="M237" t="s">
        <v>25</v>
      </c>
      <c r="N237" t="str">
        <f>IF(Sleep_health_and_lifestyle_dataset3[[#This Row],[Sleep Duration]]&gt;=8,"Good",IF(Sleep_health_and_lifestyle_dataset3[[#This Row],[Sleep Duration]]&gt;=5,"Average","Poor"))</f>
        <v>Average</v>
      </c>
      <c r="O237" t="str">
        <f>IF(Sleep_health_and_lifestyle_dataset3[[#This Row],[Physical Activity Level]]&gt;=60,"High",IF(Sleep_health_and_lifestyle_dataset3[[#This Row],[Physical Activity Level]]&gt;=40,"Medium","Low"))</f>
        <v>Medium</v>
      </c>
    </row>
    <row r="238" spans="1:15" x14ac:dyDescent="0.25">
      <c r="A238">
        <v>237</v>
      </c>
      <c r="B238" t="s">
        <v>13</v>
      </c>
      <c r="C238">
        <v>44</v>
      </c>
      <c r="D238" t="s">
        <v>50</v>
      </c>
      <c r="E238">
        <v>6.4</v>
      </c>
      <c r="F238">
        <v>6</v>
      </c>
      <c r="G238">
        <v>45</v>
      </c>
      <c r="H238">
        <v>7</v>
      </c>
      <c r="I238" t="s">
        <v>15</v>
      </c>
      <c r="J238">
        <v>130</v>
      </c>
      <c r="K238">
        <v>85</v>
      </c>
      <c r="L238">
        <v>6000</v>
      </c>
      <c r="M238" t="s">
        <v>25</v>
      </c>
      <c r="N238" t="str">
        <f>IF(Sleep_health_and_lifestyle_dataset3[[#This Row],[Sleep Duration]]&gt;=8,"Good",IF(Sleep_health_and_lifestyle_dataset3[[#This Row],[Sleep Duration]]&gt;=5,"Average","Poor"))</f>
        <v>Average</v>
      </c>
      <c r="O238" t="str">
        <f>IF(Sleep_health_and_lifestyle_dataset3[[#This Row],[Physical Activity Level]]&gt;=60,"High",IF(Sleep_health_and_lifestyle_dataset3[[#This Row],[Physical Activity Level]]&gt;=40,"Medium","Low"))</f>
        <v>Medium</v>
      </c>
    </row>
    <row r="239" spans="1:15" x14ac:dyDescent="0.25">
      <c r="A239">
        <v>238</v>
      </c>
      <c r="B239" t="s">
        <v>28</v>
      </c>
      <c r="C239">
        <v>44</v>
      </c>
      <c r="D239" t="s">
        <v>26</v>
      </c>
      <c r="E239">
        <v>6.5</v>
      </c>
      <c r="F239">
        <v>7</v>
      </c>
      <c r="G239">
        <v>45</v>
      </c>
      <c r="H239">
        <v>4</v>
      </c>
      <c r="I239" t="s">
        <v>15</v>
      </c>
      <c r="J239">
        <v>135</v>
      </c>
      <c r="K239">
        <v>90</v>
      </c>
      <c r="L239">
        <v>6000</v>
      </c>
      <c r="M239" t="s">
        <v>25</v>
      </c>
      <c r="N239" t="str">
        <f>IF(Sleep_health_and_lifestyle_dataset3[[#This Row],[Sleep Duration]]&gt;=8,"Good",IF(Sleep_health_and_lifestyle_dataset3[[#This Row],[Sleep Duration]]&gt;=5,"Average","Poor"))</f>
        <v>Average</v>
      </c>
      <c r="O239" t="str">
        <f>IF(Sleep_health_and_lifestyle_dataset3[[#This Row],[Physical Activity Level]]&gt;=60,"High",IF(Sleep_health_and_lifestyle_dataset3[[#This Row],[Physical Activity Level]]&gt;=40,"Medium","Low"))</f>
        <v>Medium</v>
      </c>
    </row>
    <row r="240" spans="1:15" x14ac:dyDescent="0.25">
      <c r="A240">
        <v>239</v>
      </c>
      <c r="B240" t="s">
        <v>13</v>
      </c>
      <c r="C240">
        <v>44</v>
      </c>
      <c r="D240" t="s">
        <v>50</v>
      </c>
      <c r="E240">
        <v>6.3</v>
      </c>
      <c r="F240">
        <v>6</v>
      </c>
      <c r="G240">
        <v>45</v>
      </c>
      <c r="H240">
        <v>7</v>
      </c>
      <c r="I240" t="s">
        <v>15</v>
      </c>
      <c r="J240">
        <v>130</v>
      </c>
      <c r="K240">
        <v>85</v>
      </c>
      <c r="L240">
        <v>6000</v>
      </c>
      <c r="M240" t="s">
        <v>25</v>
      </c>
      <c r="N240" t="str">
        <f>IF(Sleep_health_and_lifestyle_dataset3[[#This Row],[Sleep Duration]]&gt;=8,"Good",IF(Sleep_health_and_lifestyle_dataset3[[#This Row],[Sleep Duration]]&gt;=5,"Average","Poor"))</f>
        <v>Average</v>
      </c>
      <c r="O240" t="str">
        <f>IF(Sleep_health_and_lifestyle_dataset3[[#This Row],[Physical Activity Level]]&gt;=60,"High",IF(Sleep_health_and_lifestyle_dataset3[[#This Row],[Physical Activity Level]]&gt;=40,"Medium","Low"))</f>
        <v>Medium</v>
      </c>
    </row>
    <row r="241" spans="1:15" x14ac:dyDescent="0.25">
      <c r="A241">
        <v>240</v>
      </c>
      <c r="B241" t="s">
        <v>13</v>
      </c>
      <c r="C241">
        <v>44</v>
      </c>
      <c r="D241" t="s">
        <v>50</v>
      </c>
      <c r="E241">
        <v>6.4</v>
      </c>
      <c r="F241">
        <v>6</v>
      </c>
      <c r="G241">
        <v>45</v>
      </c>
      <c r="H241">
        <v>7</v>
      </c>
      <c r="I241" t="s">
        <v>15</v>
      </c>
      <c r="J241">
        <v>130</v>
      </c>
      <c r="K241">
        <v>85</v>
      </c>
      <c r="L241">
        <v>6000</v>
      </c>
      <c r="M241" t="s">
        <v>25</v>
      </c>
      <c r="N241" t="str">
        <f>IF(Sleep_health_and_lifestyle_dataset3[[#This Row],[Sleep Duration]]&gt;=8,"Good",IF(Sleep_health_and_lifestyle_dataset3[[#This Row],[Sleep Duration]]&gt;=5,"Average","Poor"))</f>
        <v>Average</v>
      </c>
      <c r="O241" t="str">
        <f>IF(Sleep_health_and_lifestyle_dataset3[[#This Row],[Physical Activity Level]]&gt;=60,"High",IF(Sleep_health_and_lifestyle_dataset3[[#This Row],[Physical Activity Level]]&gt;=40,"Medium","Low"))</f>
        <v>Medium</v>
      </c>
    </row>
    <row r="242" spans="1:15" x14ac:dyDescent="0.25">
      <c r="A242">
        <v>241</v>
      </c>
      <c r="B242" t="s">
        <v>28</v>
      </c>
      <c r="C242">
        <v>44</v>
      </c>
      <c r="D242" t="s">
        <v>26</v>
      </c>
      <c r="E242">
        <v>6.5</v>
      </c>
      <c r="F242">
        <v>7</v>
      </c>
      <c r="G242">
        <v>45</v>
      </c>
      <c r="H242">
        <v>4</v>
      </c>
      <c r="I242" t="s">
        <v>15</v>
      </c>
      <c r="J242">
        <v>135</v>
      </c>
      <c r="K242">
        <v>90</v>
      </c>
      <c r="L242">
        <v>6000</v>
      </c>
      <c r="M242" t="s">
        <v>25</v>
      </c>
      <c r="N242" t="str">
        <f>IF(Sleep_health_and_lifestyle_dataset3[[#This Row],[Sleep Duration]]&gt;=8,"Good",IF(Sleep_health_and_lifestyle_dataset3[[#This Row],[Sleep Duration]]&gt;=5,"Average","Poor"))</f>
        <v>Average</v>
      </c>
      <c r="O242" t="str">
        <f>IF(Sleep_health_and_lifestyle_dataset3[[#This Row],[Physical Activity Level]]&gt;=60,"High",IF(Sleep_health_and_lifestyle_dataset3[[#This Row],[Physical Activity Level]]&gt;=40,"Medium","Low"))</f>
        <v>Medium</v>
      </c>
    </row>
    <row r="243" spans="1:15" x14ac:dyDescent="0.25">
      <c r="A243">
        <v>242</v>
      </c>
      <c r="B243" t="s">
        <v>13</v>
      </c>
      <c r="C243">
        <v>44</v>
      </c>
      <c r="D243" t="s">
        <v>50</v>
      </c>
      <c r="E243">
        <v>6.3</v>
      </c>
      <c r="F243">
        <v>6</v>
      </c>
      <c r="G243">
        <v>45</v>
      </c>
      <c r="H243">
        <v>7</v>
      </c>
      <c r="I243" t="s">
        <v>15</v>
      </c>
      <c r="J243">
        <v>130</v>
      </c>
      <c r="K243">
        <v>85</v>
      </c>
      <c r="L243">
        <v>6000</v>
      </c>
      <c r="M243" t="s">
        <v>25</v>
      </c>
      <c r="N243" t="str">
        <f>IF(Sleep_health_and_lifestyle_dataset3[[#This Row],[Sleep Duration]]&gt;=8,"Good",IF(Sleep_health_and_lifestyle_dataset3[[#This Row],[Sleep Duration]]&gt;=5,"Average","Poor"))</f>
        <v>Average</v>
      </c>
      <c r="O243" t="str">
        <f>IF(Sleep_health_and_lifestyle_dataset3[[#This Row],[Physical Activity Level]]&gt;=60,"High",IF(Sleep_health_and_lifestyle_dataset3[[#This Row],[Physical Activity Level]]&gt;=40,"Medium","Low"))</f>
        <v>Medium</v>
      </c>
    </row>
    <row r="244" spans="1:15" x14ac:dyDescent="0.25">
      <c r="A244">
        <v>243</v>
      </c>
      <c r="B244" t="s">
        <v>13</v>
      </c>
      <c r="C244">
        <v>44</v>
      </c>
      <c r="D244" t="s">
        <v>50</v>
      </c>
      <c r="E244">
        <v>6.4</v>
      </c>
      <c r="F244">
        <v>6</v>
      </c>
      <c r="G244">
        <v>45</v>
      </c>
      <c r="H244">
        <v>7</v>
      </c>
      <c r="I244" t="s">
        <v>15</v>
      </c>
      <c r="J244">
        <v>130</v>
      </c>
      <c r="K244">
        <v>85</v>
      </c>
      <c r="L244">
        <v>6000</v>
      </c>
      <c r="M244" t="s">
        <v>25</v>
      </c>
      <c r="N244" t="str">
        <f>IF(Sleep_health_and_lifestyle_dataset3[[#This Row],[Sleep Duration]]&gt;=8,"Good",IF(Sleep_health_and_lifestyle_dataset3[[#This Row],[Sleep Duration]]&gt;=5,"Average","Poor"))</f>
        <v>Average</v>
      </c>
      <c r="O244" t="str">
        <f>IF(Sleep_health_and_lifestyle_dataset3[[#This Row],[Physical Activity Level]]&gt;=60,"High",IF(Sleep_health_and_lifestyle_dataset3[[#This Row],[Physical Activity Level]]&gt;=40,"Medium","Low"))</f>
        <v>Medium</v>
      </c>
    </row>
    <row r="245" spans="1:15" x14ac:dyDescent="0.25">
      <c r="A245">
        <v>244</v>
      </c>
      <c r="B245" t="s">
        <v>28</v>
      </c>
      <c r="C245">
        <v>44</v>
      </c>
      <c r="D245" t="s">
        <v>26</v>
      </c>
      <c r="E245">
        <v>6.5</v>
      </c>
      <c r="F245">
        <v>7</v>
      </c>
      <c r="G245">
        <v>45</v>
      </c>
      <c r="H245">
        <v>4</v>
      </c>
      <c r="I245" t="s">
        <v>15</v>
      </c>
      <c r="J245">
        <v>135</v>
      </c>
      <c r="K245">
        <v>90</v>
      </c>
      <c r="L245">
        <v>6000</v>
      </c>
      <c r="M245" t="s">
        <v>25</v>
      </c>
      <c r="N245" t="str">
        <f>IF(Sleep_health_and_lifestyle_dataset3[[#This Row],[Sleep Duration]]&gt;=8,"Good",IF(Sleep_health_and_lifestyle_dataset3[[#This Row],[Sleep Duration]]&gt;=5,"Average","Poor"))</f>
        <v>Average</v>
      </c>
      <c r="O245" t="str">
        <f>IF(Sleep_health_and_lifestyle_dataset3[[#This Row],[Physical Activity Level]]&gt;=60,"High",IF(Sleep_health_and_lifestyle_dataset3[[#This Row],[Physical Activity Level]]&gt;=40,"Medium","Low"))</f>
        <v>Medium</v>
      </c>
    </row>
    <row r="246" spans="1:15" x14ac:dyDescent="0.25">
      <c r="A246">
        <v>245</v>
      </c>
      <c r="B246" t="s">
        <v>13</v>
      </c>
      <c r="C246">
        <v>44</v>
      </c>
      <c r="D246" t="s">
        <v>50</v>
      </c>
      <c r="E246">
        <v>6.3</v>
      </c>
      <c r="F246">
        <v>6</v>
      </c>
      <c r="G246">
        <v>45</v>
      </c>
      <c r="H246">
        <v>7</v>
      </c>
      <c r="I246" t="s">
        <v>15</v>
      </c>
      <c r="J246">
        <v>130</v>
      </c>
      <c r="K246">
        <v>85</v>
      </c>
      <c r="L246">
        <v>6000</v>
      </c>
      <c r="M246" t="s">
        <v>25</v>
      </c>
      <c r="N246" t="str">
        <f>IF(Sleep_health_and_lifestyle_dataset3[[#This Row],[Sleep Duration]]&gt;=8,"Good",IF(Sleep_health_and_lifestyle_dataset3[[#This Row],[Sleep Duration]]&gt;=5,"Average","Poor"))</f>
        <v>Average</v>
      </c>
      <c r="O246" t="str">
        <f>IF(Sleep_health_and_lifestyle_dataset3[[#This Row],[Physical Activity Level]]&gt;=60,"High",IF(Sleep_health_and_lifestyle_dataset3[[#This Row],[Physical Activity Level]]&gt;=40,"Medium","Low"))</f>
        <v>Medium</v>
      </c>
    </row>
    <row r="247" spans="1:15" x14ac:dyDescent="0.25">
      <c r="A247">
        <v>246</v>
      </c>
      <c r="B247" t="s">
        <v>28</v>
      </c>
      <c r="C247">
        <v>44</v>
      </c>
      <c r="D247" t="s">
        <v>26</v>
      </c>
      <c r="E247">
        <v>6.5</v>
      </c>
      <c r="F247">
        <v>7</v>
      </c>
      <c r="G247">
        <v>45</v>
      </c>
      <c r="H247">
        <v>4</v>
      </c>
      <c r="I247" t="s">
        <v>15</v>
      </c>
      <c r="J247">
        <v>135</v>
      </c>
      <c r="K247">
        <v>90</v>
      </c>
      <c r="L247">
        <v>6000</v>
      </c>
      <c r="M247" t="s">
        <v>25</v>
      </c>
      <c r="N247" t="str">
        <f>IF(Sleep_health_and_lifestyle_dataset3[[#This Row],[Sleep Duration]]&gt;=8,"Good",IF(Sleep_health_and_lifestyle_dataset3[[#This Row],[Sleep Duration]]&gt;=5,"Average","Poor"))</f>
        <v>Average</v>
      </c>
      <c r="O247" t="str">
        <f>IF(Sleep_health_and_lifestyle_dataset3[[#This Row],[Physical Activity Level]]&gt;=60,"High",IF(Sleep_health_and_lifestyle_dataset3[[#This Row],[Physical Activity Level]]&gt;=40,"Medium","Low"))</f>
        <v>Medium</v>
      </c>
    </row>
    <row r="248" spans="1:15" x14ac:dyDescent="0.25">
      <c r="A248">
        <v>247</v>
      </c>
      <c r="B248" t="s">
        <v>13</v>
      </c>
      <c r="C248">
        <v>44</v>
      </c>
      <c r="D248" t="s">
        <v>50</v>
      </c>
      <c r="E248">
        <v>6.3</v>
      </c>
      <c r="F248">
        <v>6</v>
      </c>
      <c r="G248">
        <v>45</v>
      </c>
      <c r="H248">
        <v>7</v>
      </c>
      <c r="I248" t="s">
        <v>15</v>
      </c>
      <c r="J248">
        <v>130</v>
      </c>
      <c r="K248">
        <v>85</v>
      </c>
      <c r="L248">
        <v>6000</v>
      </c>
      <c r="M248" t="s">
        <v>25</v>
      </c>
      <c r="N248" t="str">
        <f>IF(Sleep_health_and_lifestyle_dataset3[[#This Row],[Sleep Duration]]&gt;=8,"Good",IF(Sleep_health_and_lifestyle_dataset3[[#This Row],[Sleep Duration]]&gt;=5,"Average","Poor"))</f>
        <v>Average</v>
      </c>
      <c r="O248" t="str">
        <f>IF(Sleep_health_and_lifestyle_dataset3[[#This Row],[Physical Activity Level]]&gt;=60,"High",IF(Sleep_health_and_lifestyle_dataset3[[#This Row],[Physical Activity Level]]&gt;=40,"Medium","Low"))</f>
        <v>Medium</v>
      </c>
    </row>
    <row r="249" spans="1:15" x14ac:dyDescent="0.25">
      <c r="A249">
        <v>248</v>
      </c>
      <c r="B249" t="s">
        <v>13</v>
      </c>
      <c r="C249">
        <v>44</v>
      </c>
      <c r="D249" t="s">
        <v>34</v>
      </c>
      <c r="E249">
        <v>6.8</v>
      </c>
      <c r="F249">
        <v>7</v>
      </c>
      <c r="G249">
        <v>45</v>
      </c>
      <c r="H249">
        <v>7</v>
      </c>
      <c r="I249" t="s">
        <v>15</v>
      </c>
      <c r="J249">
        <v>130</v>
      </c>
      <c r="K249">
        <v>85</v>
      </c>
      <c r="L249">
        <v>5000</v>
      </c>
      <c r="M249" t="s">
        <v>25</v>
      </c>
      <c r="N249" t="str">
        <f>IF(Sleep_health_and_lifestyle_dataset3[[#This Row],[Sleep Duration]]&gt;=8,"Good",IF(Sleep_health_and_lifestyle_dataset3[[#This Row],[Sleep Duration]]&gt;=5,"Average","Poor"))</f>
        <v>Average</v>
      </c>
      <c r="O249" t="str">
        <f>IF(Sleep_health_and_lifestyle_dataset3[[#This Row],[Physical Activity Level]]&gt;=60,"High",IF(Sleep_health_and_lifestyle_dataset3[[#This Row],[Physical Activity Level]]&gt;=40,"Medium","Low"))</f>
        <v>Medium</v>
      </c>
    </row>
    <row r="250" spans="1:15" x14ac:dyDescent="0.25">
      <c r="A250">
        <v>249</v>
      </c>
      <c r="B250" t="s">
        <v>13</v>
      </c>
      <c r="C250">
        <v>44</v>
      </c>
      <c r="D250" t="s">
        <v>50</v>
      </c>
      <c r="E250">
        <v>6.4</v>
      </c>
      <c r="F250">
        <v>6</v>
      </c>
      <c r="G250">
        <v>45</v>
      </c>
      <c r="H250">
        <v>7</v>
      </c>
      <c r="I250" t="s">
        <v>15</v>
      </c>
      <c r="J250">
        <v>130</v>
      </c>
      <c r="K250">
        <v>85</v>
      </c>
      <c r="L250">
        <v>6000</v>
      </c>
      <c r="M250" t="s">
        <v>17</v>
      </c>
      <c r="N250" t="str">
        <f>IF(Sleep_health_and_lifestyle_dataset3[[#This Row],[Sleep Duration]]&gt;=8,"Good",IF(Sleep_health_and_lifestyle_dataset3[[#This Row],[Sleep Duration]]&gt;=5,"Average","Poor"))</f>
        <v>Average</v>
      </c>
      <c r="O250" t="str">
        <f>IF(Sleep_health_and_lifestyle_dataset3[[#This Row],[Physical Activity Level]]&gt;=60,"High",IF(Sleep_health_and_lifestyle_dataset3[[#This Row],[Physical Activity Level]]&gt;=40,"Medium","Low"))</f>
        <v>Medium</v>
      </c>
    </row>
    <row r="251" spans="1:15" x14ac:dyDescent="0.25">
      <c r="A251">
        <v>250</v>
      </c>
      <c r="B251" t="s">
        <v>13</v>
      </c>
      <c r="C251">
        <v>44</v>
      </c>
      <c r="D251" t="s">
        <v>50</v>
      </c>
      <c r="E251">
        <v>6.5</v>
      </c>
      <c r="F251">
        <v>6</v>
      </c>
      <c r="G251">
        <v>45</v>
      </c>
      <c r="H251">
        <v>7</v>
      </c>
      <c r="I251" t="s">
        <v>15</v>
      </c>
      <c r="J251">
        <v>130</v>
      </c>
      <c r="K251">
        <v>85</v>
      </c>
      <c r="L251">
        <v>6000</v>
      </c>
      <c r="M251" t="s">
        <v>17</v>
      </c>
      <c r="N251" t="str">
        <f>IF(Sleep_health_and_lifestyle_dataset3[[#This Row],[Sleep Duration]]&gt;=8,"Good",IF(Sleep_health_and_lifestyle_dataset3[[#This Row],[Sleep Duration]]&gt;=5,"Average","Poor"))</f>
        <v>Average</v>
      </c>
      <c r="O251" t="str">
        <f>IF(Sleep_health_and_lifestyle_dataset3[[#This Row],[Physical Activity Level]]&gt;=60,"High",IF(Sleep_health_and_lifestyle_dataset3[[#This Row],[Physical Activity Level]]&gt;=40,"Medium","Low"))</f>
        <v>Medium</v>
      </c>
    </row>
    <row r="252" spans="1:15" x14ac:dyDescent="0.25">
      <c r="A252">
        <v>251</v>
      </c>
      <c r="B252" t="s">
        <v>28</v>
      </c>
      <c r="C252">
        <v>45</v>
      </c>
      <c r="D252" t="s">
        <v>26</v>
      </c>
      <c r="E252">
        <v>6.8</v>
      </c>
      <c r="F252">
        <v>7</v>
      </c>
      <c r="G252">
        <v>30</v>
      </c>
      <c r="H252">
        <v>6</v>
      </c>
      <c r="I252" t="s">
        <v>15</v>
      </c>
      <c r="J252">
        <v>135</v>
      </c>
      <c r="K252">
        <v>90</v>
      </c>
      <c r="L252">
        <v>6000</v>
      </c>
      <c r="M252" t="s">
        <v>25</v>
      </c>
      <c r="N252" t="str">
        <f>IF(Sleep_health_and_lifestyle_dataset3[[#This Row],[Sleep Duration]]&gt;=8,"Good",IF(Sleep_health_and_lifestyle_dataset3[[#This Row],[Sleep Duration]]&gt;=5,"Average","Poor"))</f>
        <v>Average</v>
      </c>
      <c r="O252" t="str">
        <f>IF(Sleep_health_and_lifestyle_dataset3[[#This Row],[Physical Activity Level]]&gt;=60,"High",IF(Sleep_health_and_lifestyle_dataset3[[#This Row],[Physical Activity Level]]&gt;=40,"Medium","Low"))</f>
        <v>Low</v>
      </c>
    </row>
    <row r="253" spans="1:15" x14ac:dyDescent="0.25">
      <c r="A253">
        <v>252</v>
      </c>
      <c r="B253" t="s">
        <v>28</v>
      </c>
      <c r="C253">
        <v>45</v>
      </c>
      <c r="D253" t="s">
        <v>26</v>
      </c>
      <c r="E253">
        <v>6.8</v>
      </c>
      <c r="F253">
        <v>7</v>
      </c>
      <c r="G253">
        <v>30</v>
      </c>
      <c r="H253">
        <v>6</v>
      </c>
      <c r="I253" t="s">
        <v>15</v>
      </c>
      <c r="J253">
        <v>135</v>
      </c>
      <c r="K253">
        <v>90</v>
      </c>
      <c r="L253">
        <v>6000</v>
      </c>
      <c r="M253" t="s">
        <v>25</v>
      </c>
      <c r="N253" t="str">
        <f>IF(Sleep_health_and_lifestyle_dataset3[[#This Row],[Sleep Duration]]&gt;=8,"Good",IF(Sleep_health_and_lifestyle_dataset3[[#This Row],[Sleep Duration]]&gt;=5,"Average","Poor"))</f>
        <v>Average</v>
      </c>
      <c r="O253" t="str">
        <f>IF(Sleep_health_and_lifestyle_dataset3[[#This Row],[Physical Activity Level]]&gt;=60,"High",IF(Sleep_health_and_lifestyle_dataset3[[#This Row],[Physical Activity Level]]&gt;=40,"Medium","Low"))</f>
        <v>Low</v>
      </c>
    </row>
    <row r="254" spans="1:15" x14ac:dyDescent="0.25">
      <c r="A254">
        <v>253</v>
      </c>
      <c r="B254" t="s">
        <v>28</v>
      </c>
      <c r="C254">
        <v>45</v>
      </c>
      <c r="D254" t="s">
        <v>26</v>
      </c>
      <c r="E254">
        <v>6.5</v>
      </c>
      <c r="F254">
        <v>7</v>
      </c>
      <c r="G254">
        <v>45</v>
      </c>
      <c r="H254">
        <v>4</v>
      </c>
      <c r="I254" t="s">
        <v>15</v>
      </c>
      <c r="J254">
        <v>135</v>
      </c>
      <c r="K254">
        <v>90</v>
      </c>
      <c r="L254">
        <v>6000</v>
      </c>
      <c r="M254" t="s">
        <v>25</v>
      </c>
      <c r="N254" t="str">
        <f>IF(Sleep_health_and_lifestyle_dataset3[[#This Row],[Sleep Duration]]&gt;=8,"Good",IF(Sleep_health_and_lifestyle_dataset3[[#This Row],[Sleep Duration]]&gt;=5,"Average","Poor"))</f>
        <v>Average</v>
      </c>
      <c r="O254" t="str">
        <f>IF(Sleep_health_and_lifestyle_dataset3[[#This Row],[Physical Activity Level]]&gt;=60,"High",IF(Sleep_health_and_lifestyle_dataset3[[#This Row],[Physical Activity Level]]&gt;=40,"Medium","Low"))</f>
        <v>Medium</v>
      </c>
    </row>
    <row r="255" spans="1:15" x14ac:dyDescent="0.25">
      <c r="A255">
        <v>254</v>
      </c>
      <c r="B255" t="s">
        <v>28</v>
      </c>
      <c r="C255">
        <v>45</v>
      </c>
      <c r="D255" t="s">
        <v>26</v>
      </c>
      <c r="E255">
        <v>6.5</v>
      </c>
      <c r="F255">
        <v>7</v>
      </c>
      <c r="G255">
        <v>45</v>
      </c>
      <c r="H255">
        <v>4</v>
      </c>
      <c r="I255" t="s">
        <v>15</v>
      </c>
      <c r="J255">
        <v>135</v>
      </c>
      <c r="K255">
        <v>90</v>
      </c>
      <c r="L255">
        <v>6000</v>
      </c>
      <c r="M255" t="s">
        <v>25</v>
      </c>
      <c r="N255" t="str">
        <f>IF(Sleep_health_and_lifestyle_dataset3[[#This Row],[Sleep Duration]]&gt;=8,"Good",IF(Sleep_health_and_lifestyle_dataset3[[#This Row],[Sleep Duration]]&gt;=5,"Average","Poor"))</f>
        <v>Average</v>
      </c>
      <c r="O255" t="str">
        <f>IF(Sleep_health_and_lifestyle_dataset3[[#This Row],[Physical Activity Level]]&gt;=60,"High",IF(Sleep_health_and_lifestyle_dataset3[[#This Row],[Physical Activity Level]]&gt;=40,"Medium","Low"))</f>
        <v>Medium</v>
      </c>
    </row>
    <row r="256" spans="1:15" x14ac:dyDescent="0.25">
      <c r="A256">
        <v>255</v>
      </c>
      <c r="B256" t="s">
        <v>28</v>
      </c>
      <c r="C256">
        <v>45</v>
      </c>
      <c r="D256" t="s">
        <v>26</v>
      </c>
      <c r="E256">
        <v>6.5</v>
      </c>
      <c r="F256">
        <v>7</v>
      </c>
      <c r="G256">
        <v>45</v>
      </c>
      <c r="H256">
        <v>4</v>
      </c>
      <c r="I256" t="s">
        <v>15</v>
      </c>
      <c r="J256">
        <v>135</v>
      </c>
      <c r="K256">
        <v>90</v>
      </c>
      <c r="L256">
        <v>6000</v>
      </c>
      <c r="M256" t="s">
        <v>25</v>
      </c>
      <c r="N256" t="str">
        <f>IF(Sleep_health_and_lifestyle_dataset3[[#This Row],[Sleep Duration]]&gt;=8,"Good",IF(Sleep_health_and_lifestyle_dataset3[[#This Row],[Sleep Duration]]&gt;=5,"Average","Poor"))</f>
        <v>Average</v>
      </c>
      <c r="O256" t="str">
        <f>IF(Sleep_health_and_lifestyle_dataset3[[#This Row],[Physical Activity Level]]&gt;=60,"High",IF(Sleep_health_and_lifestyle_dataset3[[#This Row],[Physical Activity Level]]&gt;=40,"Medium","Low"))</f>
        <v>Medium</v>
      </c>
    </row>
    <row r="257" spans="1:15" x14ac:dyDescent="0.25">
      <c r="A257">
        <v>256</v>
      </c>
      <c r="B257" t="s">
        <v>28</v>
      </c>
      <c r="C257">
        <v>45</v>
      </c>
      <c r="D257" t="s">
        <v>26</v>
      </c>
      <c r="E257">
        <v>6.5</v>
      </c>
      <c r="F257">
        <v>7</v>
      </c>
      <c r="G257">
        <v>45</v>
      </c>
      <c r="H257">
        <v>4</v>
      </c>
      <c r="I257" t="s">
        <v>15</v>
      </c>
      <c r="J257">
        <v>135</v>
      </c>
      <c r="K257">
        <v>90</v>
      </c>
      <c r="L257">
        <v>6000</v>
      </c>
      <c r="M257" t="s">
        <v>25</v>
      </c>
      <c r="N257" t="str">
        <f>IF(Sleep_health_and_lifestyle_dataset3[[#This Row],[Sleep Duration]]&gt;=8,"Good",IF(Sleep_health_and_lifestyle_dataset3[[#This Row],[Sleep Duration]]&gt;=5,"Average","Poor"))</f>
        <v>Average</v>
      </c>
      <c r="O257" t="str">
        <f>IF(Sleep_health_and_lifestyle_dataset3[[#This Row],[Physical Activity Level]]&gt;=60,"High",IF(Sleep_health_and_lifestyle_dataset3[[#This Row],[Physical Activity Level]]&gt;=40,"Medium","Low"))</f>
        <v>Medium</v>
      </c>
    </row>
    <row r="258" spans="1:15" x14ac:dyDescent="0.25">
      <c r="A258">
        <v>257</v>
      </c>
      <c r="B258" t="s">
        <v>28</v>
      </c>
      <c r="C258">
        <v>45</v>
      </c>
      <c r="D258" t="s">
        <v>26</v>
      </c>
      <c r="E258">
        <v>6.6</v>
      </c>
      <c r="F258">
        <v>7</v>
      </c>
      <c r="G258">
        <v>45</v>
      </c>
      <c r="H258">
        <v>4</v>
      </c>
      <c r="I258" t="s">
        <v>15</v>
      </c>
      <c r="J258">
        <v>135</v>
      </c>
      <c r="K258">
        <v>90</v>
      </c>
      <c r="L258">
        <v>6000</v>
      </c>
      <c r="M258" t="s">
        <v>25</v>
      </c>
      <c r="N258" t="str">
        <f>IF(Sleep_health_and_lifestyle_dataset3[[#This Row],[Sleep Duration]]&gt;=8,"Good",IF(Sleep_health_and_lifestyle_dataset3[[#This Row],[Sleep Duration]]&gt;=5,"Average","Poor"))</f>
        <v>Average</v>
      </c>
      <c r="O258" t="str">
        <f>IF(Sleep_health_and_lifestyle_dataset3[[#This Row],[Physical Activity Level]]&gt;=60,"High",IF(Sleep_health_and_lifestyle_dataset3[[#This Row],[Physical Activity Level]]&gt;=40,"Medium","Low"))</f>
        <v>Medium</v>
      </c>
    </row>
    <row r="259" spans="1:15" x14ac:dyDescent="0.25">
      <c r="A259">
        <v>258</v>
      </c>
      <c r="B259" t="s">
        <v>28</v>
      </c>
      <c r="C259">
        <v>45</v>
      </c>
      <c r="D259" t="s">
        <v>26</v>
      </c>
      <c r="E259">
        <v>6.6</v>
      </c>
      <c r="F259">
        <v>7</v>
      </c>
      <c r="G259">
        <v>45</v>
      </c>
      <c r="H259">
        <v>4</v>
      </c>
      <c r="I259" t="s">
        <v>15</v>
      </c>
      <c r="J259">
        <v>135</v>
      </c>
      <c r="K259">
        <v>90</v>
      </c>
      <c r="L259">
        <v>6000</v>
      </c>
      <c r="M259" t="s">
        <v>25</v>
      </c>
      <c r="N259" t="str">
        <f>IF(Sleep_health_and_lifestyle_dataset3[[#This Row],[Sleep Duration]]&gt;=8,"Good",IF(Sleep_health_and_lifestyle_dataset3[[#This Row],[Sleep Duration]]&gt;=5,"Average","Poor"))</f>
        <v>Average</v>
      </c>
      <c r="O259" t="str">
        <f>IF(Sleep_health_and_lifestyle_dataset3[[#This Row],[Physical Activity Level]]&gt;=60,"High",IF(Sleep_health_and_lifestyle_dataset3[[#This Row],[Physical Activity Level]]&gt;=40,"Medium","Low"))</f>
        <v>Medium</v>
      </c>
    </row>
    <row r="260" spans="1:15" x14ac:dyDescent="0.25">
      <c r="A260">
        <v>259</v>
      </c>
      <c r="B260" t="s">
        <v>28</v>
      </c>
      <c r="C260">
        <v>45</v>
      </c>
      <c r="D260" t="s">
        <v>26</v>
      </c>
      <c r="E260">
        <v>6.6</v>
      </c>
      <c r="F260">
        <v>7</v>
      </c>
      <c r="G260">
        <v>45</v>
      </c>
      <c r="H260">
        <v>4</v>
      </c>
      <c r="I260" t="s">
        <v>15</v>
      </c>
      <c r="J260">
        <v>135</v>
      </c>
      <c r="K260">
        <v>90</v>
      </c>
      <c r="L260">
        <v>6000</v>
      </c>
      <c r="M260" t="s">
        <v>25</v>
      </c>
      <c r="N260" t="str">
        <f>IF(Sleep_health_and_lifestyle_dataset3[[#This Row],[Sleep Duration]]&gt;=8,"Good",IF(Sleep_health_and_lifestyle_dataset3[[#This Row],[Sleep Duration]]&gt;=5,"Average","Poor"))</f>
        <v>Average</v>
      </c>
      <c r="O260" t="str">
        <f>IF(Sleep_health_and_lifestyle_dataset3[[#This Row],[Physical Activity Level]]&gt;=60,"High",IF(Sleep_health_and_lifestyle_dataset3[[#This Row],[Physical Activity Level]]&gt;=40,"Medium","Low"))</f>
        <v>Medium</v>
      </c>
    </row>
    <row r="261" spans="1:15" x14ac:dyDescent="0.25">
      <c r="A261">
        <v>260</v>
      </c>
      <c r="B261" t="s">
        <v>28</v>
      </c>
      <c r="C261">
        <v>45</v>
      </c>
      <c r="D261" t="s">
        <v>26</v>
      </c>
      <c r="E261">
        <v>6.6</v>
      </c>
      <c r="F261">
        <v>7</v>
      </c>
      <c r="G261">
        <v>45</v>
      </c>
      <c r="H261">
        <v>4</v>
      </c>
      <c r="I261" t="s">
        <v>15</v>
      </c>
      <c r="J261">
        <v>135</v>
      </c>
      <c r="K261">
        <v>90</v>
      </c>
      <c r="L261">
        <v>6000</v>
      </c>
      <c r="M261" t="s">
        <v>25</v>
      </c>
      <c r="N261" t="str">
        <f>IF(Sleep_health_and_lifestyle_dataset3[[#This Row],[Sleep Duration]]&gt;=8,"Good",IF(Sleep_health_and_lifestyle_dataset3[[#This Row],[Sleep Duration]]&gt;=5,"Average","Poor"))</f>
        <v>Average</v>
      </c>
      <c r="O261" t="str">
        <f>IF(Sleep_health_and_lifestyle_dataset3[[#This Row],[Physical Activity Level]]&gt;=60,"High",IF(Sleep_health_and_lifestyle_dataset3[[#This Row],[Physical Activity Level]]&gt;=40,"Medium","Low"))</f>
        <v>Medium</v>
      </c>
    </row>
    <row r="262" spans="1:15" x14ac:dyDescent="0.25">
      <c r="A262">
        <v>261</v>
      </c>
      <c r="B262" t="s">
        <v>28</v>
      </c>
      <c r="C262">
        <v>45</v>
      </c>
      <c r="D262" t="s">
        <v>26</v>
      </c>
      <c r="E262">
        <v>6.6</v>
      </c>
      <c r="F262">
        <v>7</v>
      </c>
      <c r="G262">
        <v>45</v>
      </c>
      <c r="H262">
        <v>4</v>
      </c>
      <c r="I262" t="s">
        <v>15</v>
      </c>
      <c r="J262">
        <v>135</v>
      </c>
      <c r="K262">
        <v>90</v>
      </c>
      <c r="L262">
        <v>6000</v>
      </c>
      <c r="M262" t="s">
        <v>25</v>
      </c>
      <c r="N262" t="str">
        <f>IF(Sleep_health_and_lifestyle_dataset3[[#This Row],[Sleep Duration]]&gt;=8,"Good",IF(Sleep_health_and_lifestyle_dataset3[[#This Row],[Sleep Duration]]&gt;=5,"Average","Poor"))</f>
        <v>Average</v>
      </c>
      <c r="O262" t="str">
        <f>IF(Sleep_health_and_lifestyle_dataset3[[#This Row],[Physical Activity Level]]&gt;=60,"High",IF(Sleep_health_and_lifestyle_dataset3[[#This Row],[Physical Activity Level]]&gt;=40,"Medium","Low"))</f>
        <v>Medium</v>
      </c>
    </row>
    <row r="263" spans="1:15" x14ac:dyDescent="0.25">
      <c r="A263">
        <v>262</v>
      </c>
      <c r="B263" t="s">
        <v>28</v>
      </c>
      <c r="C263">
        <v>45</v>
      </c>
      <c r="D263" t="s">
        <v>26</v>
      </c>
      <c r="E263">
        <v>6.6</v>
      </c>
      <c r="F263">
        <v>7</v>
      </c>
      <c r="G263">
        <v>45</v>
      </c>
      <c r="H263">
        <v>4</v>
      </c>
      <c r="I263" t="s">
        <v>15</v>
      </c>
      <c r="J263">
        <v>135</v>
      </c>
      <c r="K263">
        <v>90</v>
      </c>
      <c r="L263">
        <v>6000</v>
      </c>
      <c r="M263" t="s">
        <v>17</v>
      </c>
      <c r="N263" t="str">
        <f>IF(Sleep_health_and_lifestyle_dataset3[[#This Row],[Sleep Duration]]&gt;=8,"Good",IF(Sleep_health_and_lifestyle_dataset3[[#This Row],[Sleep Duration]]&gt;=5,"Average","Poor"))</f>
        <v>Average</v>
      </c>
      <c r="O263" t="str">
        <f>IF(Sleep_health_and_lifestyle_dataset3[[#This Row],[Physical Activity Level]]&gt;=60,"High",IF(Sleep_health_and_lifestyle_dataset3[[#This Row],[Physical Activity Level]]&gt;=40,"Medium","Low"))</f>
        <v>Medium</v>
      </c>
    </row>
    <row r="264" spans="1:15" x14ac:dyDescent="0.25">
      <c r="A264">
        <v>263</v>
      </c>
      <c r="B264" t="s">
        <v>28</v>
      </c>
      <c r="C264">
        <v>45</v>
      </c>
      <c r="D264" t="s">
        <v>26</v>
      </c>
      <c r="E264">
        <v>6.6</v>
      </c>
      <c r="F264">
        <v>7</v>
      </c>
      <c r="G264">
        <v>45</v>
      </c>
      <c r="H264">
        <v>4</v>
      </c>
      <c r="I264" t="s">
        <v>15</v>
      </c>
      <c r="J264">
        <v>135</v>
      </c>
      <c r="K264">
        <v>90</v>
      </c>
      <c r="L264">
        <v>6000</v>
      </c>
      <c r="M264" t="s">
        <v>17</v>
      </c>
      <c r="N264" t="str">
        <f>IF(Sleep_health_and_lifestyle_dataset3[[#This Row],[Sleep Duration]]&gt;=8,"Good",IF(Sleep_health_and_lifestyle_dataset3[[#This Row],[Sleep Duration]]&gt;=5,"Average","Poor"))</f>
        <v>Average</v>
      </c>
      <c r="O264" t="str">
        <f>IF(Sleep_health_and_lifestyle_dataset3[[#This Row],[Physical Activity Level]]&gt;=60,"High",IF(Sleep_health_and_lifestyle_dataset3[[#This Row],[Physical Activity Level]]&gt;=40,"Medium","Low"))</f>
        <v>Medium</v>
      </c>
    </row>
    <row r="265" spans="1:15" x14ac:dyDescent="0.25">
      <c r="A265">
        <v>264</v>
      </c>
      <c r="B265" t="s">
        <v>28</v>
      </c>
      <c r="C265">
        <v>45</v>
      </c>
      <c r="D265" t="s">
        <v>53</v>
      </c>
      <c r="E265">
        <v>6.9</v>
      </c>
      <c r="F265">
        <v>7</v>
      </c>
      <c r="G265">
        <v>55</v>
      </c>
      <c r="H265">
        <v>5</v>
      </c>
      <c r="I265" t="s">
        <v>15</v>
      </c>
      <c r="J265">
        <v>125</v>
      </c>
      <c r="K265">
        <v>82</v>
      </c>
      <c r="L265">
        <v>5500</v>
      </c>
      <c r="M265" t="s">
        <v>17</v>
      </c>
      <c r="N265" t="str">
        <f>IF(Sleep_health_and_lifestyle_dataset3[[#This Row],[Sleep Duration]]&gt;=8,"Good",IF(Sleep_health_and_lifestyle_dataset3[[#This Row],[Sleep Duration]]&gt;=5,"Average","Poor"))</f>
        <v>Average</v>
      </c>
      <c r="O265" t="str">
        <f>IF(Sleep_health_and_lifestyle_dataset3[[#This Row],[Physical Activity Level]]&gt;=60,"High",IF(Sleep_health_and_lifestyle_dataset3[[#This Row],[Physical Activity Level]]&gt;=40,"Medium","Low"))</f>
        <v>Medium</v>
      </c>
    </row>
    <row r="266" spans="1:15" x14ac:dyDescent="0.25">
      <c r="A266">
        <v>265</v>
      </c>
      <c r="B266" t="s">
        <v>13</v>
      </c>
      <c r="C266">
        <v>48</v>
      </c>
      <c r="D266" t="s">
        <v>18</v>
      </c>
      <c r="E266">
        <v>7.3</v>
      </c>
      <c r="F266">
        <v>7</v>
      </c>
      <c r="G266">
        <v>65</v>
      </c>
      <c r="H266">
        <v>5</v>
      </c>
      <c r="I266" t="s">
        <v>22</v>
      </c>
      <c r="J266">
        <v>142</v>
      </c>
      <c r="K266">
        <v>92</v>
      </c>
      <c r="L266">
        <v>3500</v>
      </c>
      <c r="M266" t="s">
        <v>25</v>
      </c>
      <c r="N266" t="str">
        <f>IF(Sleep_health_and_lifestyle_dataset3[[#This Row],[Sleep Duration]]&gt;=8,"Good",IF(Sleep_health_and_lifestyle_dataset3[[#This Row],[Sleep Duration]]&gt;=5,"Average","Poor"))</f>
        <v>Average</v>
      </c>
      <c r="O266" t="str">
        <f>IF(Sleep_health_and_lifestyle_dataset3[[#This Row],[Physical Activity Level]]&gt;=60,"High",IF(Sleep_health_and_lifestyle_dataset3[[#This Row],[Physical Activity Level]]&gt;=40,"Medium","Low"))</f>
        <v>High</v>
      </c>
    </row>
    <row r="267" spans="1:15" x14ac:dyDescent="0.25">
      <c r="A267">
        <v>266</v>
      </c>
      <c r="B267" t="s">
        <v>28</v>
      </c>
      <c r="C267">
        <v>48</v>
      </c>
      <c r="D267" t="s">
        <v>29</v>
      </c>
      <c r="E267">
        <v>5.9</v>
      </c>
      <c r="F267">
        <v>6</v>
      </c>
      <c r="G267">
        <v>90</v>
      </c>
      <c r="H267">
        <v>8</v>
      </c>
      <c r="I267" t="s">
        <v>15</v>
      </c>
      <c r="J267">
        <v>140</v>
      </c>
      <c r="K267">
        <v>95</v>
      </c>
      <c r="L267">
        <v>10000</v>
      </c>
      <c r="M267" t="s">
        <v>24</v>
      </c>
      <c r="N267" t="str">
        <f>IF(Sleep_health_and_lifestyle_dataset3[[#This Row],[Sleep Duration]]&gt;=8,"Good",IF(Sleep_health_and_lifestyle_dataset3[[#This Row],[Sleep Duration]]&gt;=5,"Average","Poor"))</f>
        <v>Average</v>
      </c>
      <c r="O267" t="str">
        <f>IF(Sleep_health_and_lifestyle_dataset3[[#This Row],[Physical Activity Level]]&gt;=60,"High",IF(Sleep_health_and_lifestyle_dataset3[[#This Row],[Physical Activity Level]]&gt;=40,"Medium","Low"))</f>
        <v>High</v>
      </c>
    </row>
    <row r="268" spans="1:15" x14ac:dyDescent="0.25">
      <c r="A268">
        <v>267</v>
      </c>
      <c r="B268" t="s">
        <v>13</v>
      </c>
      <c r="C268">
        <v>48</v>
      </c>
      <c r="D268" t="s">
        <v>18</v>
      </c>
      <c r="E268">
        <v>7.3</v>
      </c>
      <c r="F268">
        <v>7</v>
      </c>
      <c r="G268">
        <v>65</v>
      </c>
      <c r="H268">
        <v>5</v>
      </c>
      <c r="I268" t="s">
        <v>22</v>
      </c>
      <c r="J268">
        <v>142</v>
      </c>
      <c r="K268">
        <v>92</v>
      </c>
      <c r="L268">
        <v>3500</v>
      </c>
      <c r="M268" t="s">
        <v>25</v>
      </c>
      <c r="N268" t="str">
        <f>IF(Sleep_health_and_lifestyle_dataset3[[#This Row],[Sleep Duration]]&gt;=8,"Good",IF(Sleep_health_and_lifestyle_dataset3[[#This Row],[Sleep Duration]]&gt;=5,"Average","Poor"))</f>
        <v>Average</v>
      </c>
      <c r="O268" t="str">
        <f>IF(Sleep_health_and_lifestyle_dataset3[[#This Row],[Physical Activity Level]]&gt;=60,"High",IF(Sleep_health_and_lifestyle_dataset3[[#This Row],[Physical Activity Level]]&gt;=40,"Medium","Low"))</f>
        <v>High</v>
      </c>
    </row>
    <row r="269" spans="1:15" x14ac:dyDescent="0.25">
      <c r="A269">
        <v>268</v>
      </c>
      <c r="B269" t="s">
        <v>28</v>
      </c>
      <c r="C269">
        <v>49</v>
      </c>
      <c r="D269" t="s">
        <v>29</v>
      </c>
      <c r="E269">
        <v>6.2</v>
      </c>
      <c r="F269">
        <v>6</v>
      </c>
      <c r="G269">
        <v>90</v>
      </c>
      <c r="H269">
        <v>8</v>
      </c>
      <c r="I269" t="s">
        <v>15</v>
      </c>
      <c r="J269">
        <v>140</v>
      </c>
      <c r="K269">
        <v>95</v>
      </c>
      <c r="L269">
        <v>10000</v>
      </c>
      <c r="M269" t="s">
        <v>17</v>
      </c>
      <c r="N269" t="str">
        <f>IF(Sleep_health_and_lifestyle_dataset3[[#This Row],[Sleep Duration]]&gt;=8,"Good",IF(Sleep_health_and_lifestyle_dataset3[[#This Row],[Sleep Duration]]&gt;=5,"Average","Poor"))</f>
        <v>Average</v>
      </c>
      <c r="O269" t="str">
        <f>IF(Sleep_health_and_lifestyle_dataset3[[#This Row],[Physical Activity Level]]&gt;=60,"High",IF(Sleep_health_and_lifestyle_dataset3[[#This Row],[Physical Activity Level]]&gt;=40,"Medium","Low"))</f>
        <v>High</v>
      </c>
    </row>
    <row r="270" spans="1:15" x14ac:dyDescent="0.25">
      <c r="A270">
        <v>269</v>
      </c>
      <c r="B270" t="s">
        <v>28</v>
      </c>
      <c r="C270">
        <v>49</v>
      </c>
      <c r="D270" t="s">
        <v>29</v>
      </c>
      <c r="E270">
        <v>6</v>
      </c>
      <c r="F270">
        <v>6</v>
      </c>
      <c r="G270">
        <v>90</v>
      </c>
      <c r="H270">
        <v>8</v>
      </c>
      <c r="I270" t="s">
        <v>15</v>
      </c>
      <c r="J270">
        <v>140</v>
      </c>
      <c r="K270">
        <v>95</v>
      </c>
      <c r="L270">
        <v>10000</v>
      </c>
      <c r="M270" t="s">
        <v>24</v>
      </c>
      <c r="N270" t="str">
        <f>IF(Sleep_health_and_lifestyle_dataset3[[#This Row],[Sleep Duration]]&gt;=8,"Good",IF(Sleep_health_and_lifestyle_dataset3[[#This Row],[Sleep Duration]]&gt;=5,"Average","Poor"))</f>
        <v>Average</v>
      </c>
      <c r="O270" t="str">
        <f>IF(Sleep_health_and_lifestyle_dataset3[[#This Row],[Physical Activity Level]]&gt;=60,"High",IF(Sleep_health_and_lifestyle_dataset3[[#This Row],[Physical Activity Level]]&gt;=40,"Medium","Low"))</f>
        <v>High</v>
      </c>
    </row>
    <row r="271" spans="1:15" x14ac:dyDescent="0.25">
      <c r="A271">
        <v>270</v>
      </c>
      <c r="B271" t="s">
        <v>28</v>
      </c>
      <c r="C271">
        <v>49</v>
      </c>
      <c r="D271" t="s">
        <v>29</v>
      </c>
      <c r="E271">
        <v>6.1</v>
      </c>
      <c r="F271">
        <v>6</v>
      </c>
      <c r="G271">
        <v>90</v>
      </c>
      <c r="H271">
        <v>8</v>
      </c>
      <c r="I271" t="s">
        <v>15</v>
      </c>
      <c r="J271">
        <v>140</v>
      </c>
      <c r="K271">
        <v>95</v>
      </c>
      <c r="L271">
        <v>10000</v>
      </c>
      <c r="M271" t="s">
        <v>24</v>
      </c>
      <c r="N271" t="str">
        <f>IF(Sleep_health_and_lifestyle_dataset3[[#This Row],[Sleep Duration]]&gt;=8,"Good",IF(Sleep_health_and_lifestyle_dataset3[[#This Row],[Sleep Duration]]&gt;=5,"Average","Poor"))</f>
        <v>Average</v>
      </c>
      <c r="O271" t="str">
        <f>IF(Sleep_health_and_lifestyle_dataset3[[#This Row],[Physical Activity Level]]&gt;=60,"High",IF(Sleep_health_and_lifestyle_dataset3[[#This Row],[Physical Activity Level]]&gt;=40,"Medium","Low"))</f>
        <v>High</v>
      </c>
    </row>
    <row r="272" spans="1:15" x14ac:dyDescent="0.25">
      <c r="A272">
        <v>271</v>
      </c>
      <c r="B272" t="s">
        <v>28</v>
      </c>
      <c r="C272">
        <v>49</v>
      </c>
      <c r="D272" t="s">
        <v>29</v>
      </c>
      <c r="E272">
        <v>6.1</v>
      </c>
      <c r="F272">
        <v>6</v>
      </c>
      <c r="G272">
        <v>90</v>
      </c>
      <c r="H272">
        <v>8</v>
      </c>
      <c r="I272" t="s">
        <v>15</v>
      </c>
      <c r="J272">
        <v>140</v>
      </c>
      <c r="K272">
        <v>95</v>
      </c>
      <c r="L272">
        <v>10000</v>
      </c>
      <c r="M272" t="s">
        <v>24</v>
      </c>
      <c r="N272" t="str">
        <f>IF(Sleep_health_and_lifestyle_dataset3[[#This Row],[Sleep Duration]]&gt;=8,"Good",IF(Sleep_health_and_lifestyle_dataset3[[#This Row],[Sleep Duration]]&gt;=5,"Average","Poor"))</f>
        <v>Average</v>
      </c>
      <c r="O272" t="str">
        <f>IF(Sleep_health_and_lifestyle_dataset3[[#This Row],[Physical Activity Level]]&gt;=60,"High",IF(Sleep_health_and_lifestyle_dataset3[[#This Row],[Physical Activity Level]]&gt;=40,"Medium","Low"))</f>
        <v>High</v>
      </c>
    </row>
    <row r="273" spans="1:15" x14ac:dyDescent="0.25">
      <c r="A273">
        <v>272</v>
      </c>
      <c r="B273" t="s">
        <v>28</v>
      </c>
      <c r="C273">
        <v>49</v>
      </c>
      <c r="D273" t="s">
        <v>29</v>
      </c>
      <c r="E273">
        <v>6.1</v>
      </c>
      <c r="F273">
        <v>6</v>
      </c>
      <c r="G273">
        <v>90</v>
      </c>
      <c r="H273">
        <v>8</v>
      </c>
      <c r="I273" t="s">
        <v>15</v>
      </c>
      <c r="J273">
        <v>140</v>
      </c>
      <c r="K273">
        <v>95</v>
      </c>
      <c r="L273">
        <v>10000</v>
      </c>
      <c r="M273" t="s">
        <v>24</v>
      </c>
      <c r="N273" t="str">
        <f>IF(Sleep_health_and_lifestyle_dataset3[[#This Row],[Sleep Duration]]&gt;=8,"Good",IF(Sleep_health_and_lifestyle_dataset3[[#This Row],[Sleep Duration]]&gt;=5,"Average","Poor"))</f>
        <v>Average</v>
      </c>
      <c r="O273" t="str">
        <f>IF(Sleep_health_and_lifestyle_dataset3[[#This Row],[Physical Activity Level]]&gt;=60,"High",IF(Sleep_health_and_lifestyle_dataset3[[#This Row],[Physical Activity Level]]&gt;=40,"Medium","Low"))</f>
        <v>High</v>
      </c>
    </row>
    <row r="274" spans="1:15" x14ac:dyDescent="0.25">
      <c r="A274">
        <v>273</v>
      </c>
      <c r="B274" t="s">
        <v>28</v>
      </c>
      <c r="C274">
        <v>49</v>
      </c>
      <c r="D274" t="s">
        <v>29</v>
      </c>
      <c r="E274">
        <v>6.1</v>
      </c>
      <c r="F274">
        <v>6</v>
      </c>
      <c r="G274">
        <v>90</v>
      </c>
      <c r="H274">
        <v>8</v>
      </c>
      <c r="I274" t="s">
        <v>15</v>
      </c>
      <c r="J274">
        <v>140</v>
      </c>
      <c r="K274">
        <v>95</v>
      </c>
      <c r="L274">
        <v>10000</v>
      </c>
      <c r="M274" t="s">
        <v>24</v>
      </c>
      <c r="N274" t="str">
        <f>IF(Sleep_health_and_lifestyle_dataset3[[#This Row],[Sleep Duration]]&gt;=8,"Good",IF(Sleep_health_and_lifestyle_dataset3[[#This Row],[Sleep Duration]]&gt;=5,"Average","Poor"))</f>
        <v>Average</v>
      </c>
      <c r="O274" t="str">
        <f>IF(Sleep_health_and_lifestyle_dataset3[[#This Row],[Physical Activity Level]]&gt;=60,"High",IF(Sleep_health_and_lifestyle_dataset3[[#This Row],[Physical Activity Level]]&gt;=40,"Medium","Low"))</f>
        <v>High</v>
      </c>
    </row>
    <row r="275" spans="1:15" x14ac:dyDescent="0.25">
      <c r="A275">
        <v>274</v>
      </c>
      <c r="B275" t="s">
        <v>28</v>
      </c>
      <c r="C275">
        <v>49</v>
      </c>
      <c r="D275" t="s">
        <v>29</v>
      </c>
      <c r="E275">
        <v>6.2</v>
      </c>
      <c r="F275">
        <v>6</v>
      </c>
      <c r="G275">
        <v>90</v>
      </c>
      <c r="H275">
        <v>8</v>
      </c>
      <c r="I275" t="s">
        <v>15</v>
      </c>
      <c r="J275">
        <v>140</v>
      </c>
      <c r="K275">
        <v>95</v>
      </c>
      <c r="L275">
        <v>10000</v>
      </c>
      <c r="M275" t="s">
        <v>24</v>
      </c>
      <c r="N275" t="str">
        <f>IF(Sleep_health_and_lifestyle_dataset3[[#This Row],[Sleep Duration]]&gt;=8,"Good",IF(Sleep_health_and_lifestyle_dataset3[[#This Row],[Sleep Duration]]&gt;=5,"Average","Poor"))</f>
        <v>Average</v>
      </c>
      <c r="O275" t="str">
        <f>IF(Sleep_health_and_lifestyle_dataset3[[#This Row],[Physical Activity Level]]&gt;=60,"High",IF(Sleep_health_and_lifestyle_dataset3[[#This Row],[Physical Activity Level]]&gt;=40,"Medium","Low"))</f>
        <v>High</v>
      </c>
    </row>
    <row r="276" spans="1:15" x14ac:dyDescent="0.25">
      <c r="A276">
        <v>275</v>
      </c>
      <c r="B276" t="s">
        <v>28</v>
      </c>
      <c r="C276">
        <v>49</v>
      </c>
      <c r="D276" t="s">
        <v>29</v>
      </c>
      <c r="E276">
        <v>6.2</v>
      </c>
      <c r="F276">
        <v>6</v>
      </c>
      <c r="G276">
        <v>90</v>
      </c>
      <c r="H276">
        <v>8</v>
      </c>
      <c r="I276" t="s">
        <v>15</v>
      </c>
      <c r="J276">
        <v>140</v>
      </c>
      <c r="K276">
        <v>95</v>
      </c>
      <c r="L276">
        <v>10000</v>
      </c>
      <c r="M276" t="s">
        <v>24</v>
      </c>
      <c r="N276" t="str">
        <f>IF(Sleep_health_and_lifestyle_dataset3[[#This Row],[Sleep Duration]]&gt;=8,"Good",IF(Sleep_health_and_lifestyle_dataset3[[#This Row],[Sleep Duration]]&gt;=5,"Average","Poor"))</f>
        <v>Average</v>
      </c>
      <c r="O276" t="str">
        <f>IF(Sleep_health_and_lifestyle_dataset3[[#This Row],[Physical Activity Level]]&gt;=60,"High",IF(Sleep_health_and_lifestyle_dataset3[[#This Row],[Physical Activity Level]]&gt;=40,"Medium","Low"))</f>
        <v>High</v>
      </c>
    </row>
    <row r="277" spans="1:15" x14ac:dyDescent="0.25">
      <c r="A277">
        <v>276</v>
      </c>
      <c r="B277" t="s">
        <v>28</v>
      </c>
      <c r="C277">
        <v>49</v>
      </c>
      <c r="D277" t="s">
        <v>29</v>
      </c>
      <c r="E277">
        <v>6.2</v>
      </c>
      <c r="F277">
        <v>6</v>
      </c>
      <c r="G277">
        <v>90</v>
      </c>
      <c r="H277">
        <v>8</v>
      </c>
      <c r="I277" t="s">
        <v>15</v>
      </c>
      <c r="J277">
        <v>140</v>
      </c>
      <c r="K277">
        <v>95</v>
      </c>
      <c r="L277">
        <v>10000</v>
      </c>
      <c r="M277" t="s">
        <v>24</v>
      </c>
      <c r="N277" t="str">
        <f>IF(Sleep_health_and_lifestyle_dataset3[[#This Row],[Sleep Duration]]&gt;=8,"Good",IF(Sleep_health_and_lifestyle_dataset3[[#This Row],[Sleep Duration]]&gt;=5,"Average","Poor"))</f>
        <v>Average</v>
      </c>
      <c r="O277" t="str">
        <f>IF(Sleep_health_and_lifestyle_dataset3[[#This Row],[Physical Activity Level]]&gt;=60,"High",IF(Sleep_health_and_lifestyle_dataset3[[#This Row],[Physical Activity Level]]&gt;=40,"Medium","Low"))</f>
        <v>High</v>
      </c>
    </row>
    <row r="278" spans="1:15" x14ac:dyDescent="0.25">
      <c r="A278">
        <v>277</v>
      </c>
      <c r="B278" t="s">
        <v>13</v>
      </c>
      <c r="C278">
        <v>49</v>
      </c>
      <c r="D278" t="s">
        <v>18</v>
      </c>
      <c r="E278">
        <v>8.1</v>
      </c>
      <c r="F278">
        <v>9</v>
      </c>
      <c r="G278">
        <v>85</v>
      </c>
      <c r="H278">
        <v>3</v>
      </c>
      <c r="I278" t="s">
        <v>22</v>
      </c>
      <c r="J278">
        <v>139</v>
      </c>
      <c r="K278">
        <v>91</v>
      </c>
      <c r="L278">
        <v>3700</v>
      </c>
      <c r="M278" t="s">
        <v>24</v>
      </c>
      <c r="N278" t="str">
        <f>IF(Sleep_health_and_lifestyle_dataset3[[#This Row],[Sleep Duration]]&gt;=8,"Good",IF(Sleep_health_and_lifestyle_dataset3[[#This Row],[Sleep Duration]]&gt;=5,"Average","Poor"))</f>
        <v>Good</v>
      </c>
      <c r="O278" t="str">
        <f>IF(Sleep_health_and_lifestyle_dataset3[[#This Row],[Physical Activity Level]]&gt;=60,"High",IF(Sleep_health_and_lifestyle_dataset3[[#This Row],[Physical Activity Level]]&gt;=40,"Medium","Low"))</f>
        <v>High</v>
      </c>
    </row>
    <row r="279" spans="1:15" x14ac:dyDescent="0.25">
      <c r="A279">
        <v>278</v>
      </c>
      <c r="B279" t="s">
        <v>13</v>
      </c>
      <c r="C279">
        <v>49</v>
      </c>
      <c r="D279" t="s">
        <v>18</v>
      </c>
      <c r="E279">
        <v>8.1</v>
      </c>
      <c r="F279">
        <v>9</v>
      </c>
      <c r="G279">
        <v>85</v>
      </c>
      <c r="H279">
        <v>3</v>
      </c>
      <c r="I279" t="s">
        <v>22</v>
      </c>
      <c r="J279">
        <v>139</v>
      </c>
      <c r="K279">
        <v>91</v>
      </c>
      <c r="L279">
        <v>3700</v>
      </c>
      <c r="M279" t="s">
        <v>24</v>
      </c>
      <c r="N279" t="str">
        <f>IF(Sleep_health_and_lifestyle_dataset3[[#This Row],[Sleep Duration]]&gt;=8,"Good",IF(Sleep_health_and_lifestyle_dataset3[[#This Row],[Sleep Duration]]&gt;=5,"Average","Poor"))</f>
        <v>Good</v>
      </c>
      <c r="O279" t="str">
        <f>IF(Sleep_health_and_lifestyle_dataset3[[#This Row],[Physical Activity Level]]&gt;=60,"High",IF(Sleep_health_and_lifestyle_dataset3[[#This Row],[Physical Activity Level]]&gt;=40,"Medium","Low"))</f>
        <v>High</v>
      </c>
    </row>
    <row r="280" spans="1:15" x14ac:dyDescent="0.25">
      <c r="A280">
        <v>279</v>
      </c>
      <c r="B280" t="s">
        <v>28</v>
      </c>
      <c r="C280">
        <v>50</v>
      </c>
      <c r="D280" t="s">
        <v>29</v>
      </c>
      <c r="E280">
        <v>6.1</v>
      </c>
      <c r="F280">
        <v>6</v>
      </c>
      <c r="G280">
        <v>90</v>
      </c>
      <c r="H280">
        <v>8</v>
      </c>
      <c r="I280" t="s">
        <v>15</v>
      </c>
      <c r="J280">
        <v>140</v>
      </c>
      <c r="K280">
        <v>95</v>
      </c>
      <c r="L280">
        <v>10000</v>
      </c>
      <c r="M280" t="s">
        <v>25</v>
      </c>
      <c r="N280" t="str">
        <f>IF(Sleep_health_and_lifestyle_dataset3[[#This Row],[Sleep Duration]]&gt;=8,"Good",IF(Sleep_health_and_lifestyle_dataset3[[#This Row],[Sleep Duration]]&gt;=5,"Average","Poor"))</f>
        <v>Average</v>
      </c>
      <c r="O280" t="str">
        <f>IF(Sleep_health_and_lifestyle_dataset3[[#This Row],[Physical Activity Level]]&gt;=60,"High",IF(Sleep_health_and_lifestyle_dataset3[[#This Row],[Physical Activity Level]]&gt;=40,"Medium","Low"))</f>
        <v>High</v>
      </c>
    </row>
    <row r="281" spans="1:15" x14ac:dyDescent="0.25">
      <c r="A281">
        <v>280</v>
      </c>
      <c r="B281" t="s">
        <v>28</v>
      </c>
      <c r="C281">
        <v>50</v>
      </c>
      <c r="D281" t="s">
        <v>34</v>
      </c>
      <c r="E281">
        <v>8.3000000000000007</v>
      </c>
      <c r="F281">
        <v>9</v>
      </c>
      <c r="G281">
        <v>30</v>
      </c>
      <c r="H281">
        <v>3</v>
      </c>
      <c r="I281" t="s">
        <v>19</v>
      </c>
      <c r="J281">
        <v>125</v>
      </c>
      <c r="K281">
        <v>80</v>
      </c>
      <c r="L281">
        <v>5000</v>
      </c>
      <c r="M281" t="s">
        <v>17</v>
      </c>
      <c r="N281" t="str">
        <f>IF(Sleep_health_and_lifestyle_dataset3[[#This Row],[Sleep Duration]]&gt;=8,"Good",IF(Sleep_health_and_lifestyle_dataset3[[#This Row],[Sleep Duration]]&gt;=5,"Average","Poor"))</f>
        <v>Good</v>
      </c>
      <c r="O281" t="str">
        <f>IF(Sleep_health_and_lifestyle_dataset3[[#This Row],[Physical Activity Level]]&gt;=60,"High",IF(Sleep_health_and_lifestyle_dataset3[[#This Row],[Physical Activity Level]]&gt;=40,"Medium","Low"))</f>
        <v>Low</v>
      </c>
    </row>
    <row r="282" spans="1:15" x14ac:dyDescent="0.25">
      <c r="A282">
        <v>281</v>
      </c>
      <c r="B282" t="s">
        <v>28</v>
      </c>
      <c r="C282">
        <v>50</v>
      </c>
      <c r="D282" t="s">
        <v>29</v>
      </c>
      <c r="E282">
        <v>6</v>
      </c>
      <c r="F282">
        <v>6</v>
      </c>
      <c r="G282">
        <v>90</v>
      </c>
      <c r="H282">
        <v>8</v>
      </c>
      <c r="I282" t="s">
        <v>15</v>
      </c>
      <c r="J282">
        <v>140</v>
      </c>
      <c r="K282">
        <v>95</v>
      </c>
      <c r="L282">
        <v>10000</v>
      </c>
      <c r="M282" t="s">
        <v>17</v>
      </c>
      <c r="N282" t="str">
        <f>IF(Sleep_health_and_lifestyle_dataset3[[#This Row],[Sleep Duration]]&gt;=8,"Good",IF(Sleep_health_and_lifestyle_dataset3[[#This Row],[Sleep Duration]]&gt;=5,"Average","Poor"))</f>
        <v>Average</v>
      </c>
      <c r="O282" t="str">
        <f>IF(Sleep_health_and_lifestyle_dataset3[[#This Row],[Physical Activity Level]]&gt;=60,"High",IF(Sleep_health_and_lifestyle_dataset3[[#This Row],[Physical Activity Level]]&gt;=40,"Medium","Low"))</f>
        <v>High</v>
      </c>
    </row>
    <row r="283" spans="1:15" x14ac:dyDescent="0.25">
      <c r="A283">
        <v>282</v>
      </c>
      <c r="B283" t="s">
        <v>28</v>
      </c>
      <c r="C283">
        <v>50</v>
      </c>
      <c r="D283" t="s">
        <v>29</v>
      </c>
      <c r="E283">
        <v>6.1</v>
      </c>
      <c r="F283">
        <v>6</v>
      </c>
      <c r="G283">
        <v>90</v>
      </c>
      <c r="H283">
        <v>8</v>
      </c>
      <c r="I283" t="s">
        <v>15</v>
      </c>
      <c r="J283">
        <v>140</v>
      </c>
      <c r="K283">
        <v>95</v>
      </c>
      <c r="L283">
        <v>10000</v>
      </c>
      <c r="M283" t="s">
        <v>24</v>
      </c>
      <c r="N283" t="str">
        <f>IF(Sleep_health_and_lifestyle_dataset3[[#This Row],[Sleep Duration]]&gt;=8,"Good",IF(Sleep_health_and_lifestyle_dataset3[[#This Row],[Sleep Duration]]&gt;=5,"Average","Poor"))</f>
        <v>Average</v>
      </c>
      <c r="O283" t="str">
        <f>IF(Sleep_health_and_lifestyle_dataset3[[#This Row],[Physical Activity Level]]&gt;=60,"High",IF(Sleep_health_and_lifestyle_dataset3[[#This Row],[Physical Activity Level]]&gt;=40,"Medium","Low"))</f>
        <v>High</v>
      </c>
    </row>
    <row r="284" spans="1:15" x14ac:dyDescent="0.25">
      <c r="A284">
        <v>283</v>
      </c>
      <c r="B284" t="s">
        <v>28</v>
      </c>
      <c r="C284">
        <v>50</v>
      </c>
      <c r="D284" t="s">
        <v>29</v>
      </c>
      <c r="E284">
        <v>6</v>
      </c>
      <c r="F284">
        <v>6</v>
      </c>
      <c r="G284">
        <v>90</v>
      </c>
      <c r="H284">
        <v>8</v>
      </c>
      <c r="I284" t="s">
        <v>15</v>
      </c>
      <c r="J284">
        <v>140</v>
      </c>
      <c r="K284">
        <v>95</v>
      </c>
      <c r="L284">
        <v>10000</v>
      </c>
      <c r="M284" t="s">
        <v>24</v>
      </c>
      <c r="N284" t="str">
        <f>IF(Sleep_health_and_lifestyle_dataset3[[#This Row],[Sleep Duration]]&gt;=8,"Good",IF(Sleep_health_and_lifestyle_dataset3[[#This Row],[Sleep Duration]]&gt;=5,"Average","Poor"))</f>
        <v>Average</v>
      </c>
      <c r="O284" t="str">
        <f>IF(Sleep_health_and_lifestyle_dataset3[[#This Row],[Physical Activity Level]]&gt;=60,"High",IF(Sleep_health_and_lifestyle_dataset3[[#This Row],[Physical Activity Level]]&gt;=40,"Medium","Low"))</f>
        <v>High</v>
      </c>
    </row>
    <row r="285" spans="1:15" x14ac:dyDescent="0.25">
      <c r="A285">
        <v>284</v>
      </c>
      <c r="B285" t="s">
        <v>28</v>
      </c>
      <c r="C285">
        <v>50</v>
      </c>
      <c r="D285" t="s">
        <v>29</v>
      </c>
      <c r="E285">
        <v>6</v>
      </c>
      <c r="F285">
        <v>6</v>
      </c>
      <c r="G285">
        <v>90</v>
      </c>
      <c r="H285">
        <v>8</v>
      </c>
      <c r="I285" t="s">
        <v>15</v>
      </c>
      <c r="J285">
        <v>140</v>
      </c>
      <c r="K285">
        <v>95</v>
      </c>
      <c r="L285">
        <v>10000</v>
      </c>
      <c r="M285" t="s">
        <v>24</v>
      </c>
      <c r="N285" t="str">
        <f>IF(Sleep_health_and_lifestyle_dataset3[[#This Row],[Sleep Duration]]&gt;=8,"Good",IF(Sleep_health_and_lifestyle_dataset3[[#This Row],[Sleep Duration]]&gt;=5,"Average","Poor"))</f>
        <v>Average</v>
      </c>
      <c r="O285" t="str">
        <f>IF(Sleep_health_and_lifestyle_dataset3[[#This Row],[Physical Activity Level]]&gt;=60,"High",IF(Sleep_health_and_lifestyle_dataset3[[#This Row],[Physical Activity Level]]&gt;=40,"Medium","Low"))</f>
        <v>High</v>
      </c>
    </row>
    <row r="286" spans="1:15" x14ac:dyDescent="0.25">
      <c r="A286">
        <v>285</v>
      </c>
      <c r="B286" t="s">
        <v>28</v>
      </c>
      <c r="C286">
        <v>50</v>
      </c>
      <c r="D286" t="s">
        <v>29</v>
      </c>
      <c r="E286">
        <v>6</v>
      </c>
      <c r="F286">
        <v>6</v>
      </c>
      <c r="G286">
        <v>90</v>
      </c>
      <c r="H286">
        <v>8</v>
      </c>
      <c r="I286" t="s">
        <v>15</v>
      </c>
      <c r="J286">
        <v>140</v>
      </c>
      <c r="K286">
        <v>95</v>
      </c>
      <c r="L286">
        <v>10000</v>
      </c>
      <c r="M286" t="s">
        <v>24</v>
      </c>
      <c r="N286" t="str">
        <f>IF(Sleep_health_and_lifestyle_dataset3[[#This Row],[Sleep Duration]]&gt;=8,"Good",IF(Sleep_health_and_lifestyle_dataset3[[#This Row],[Sleep Duration]]&gt;=5,"Average","Poor"))</f>
        <v>Average</v>
      </c>
      <c r="O286" t="str">
        <f>IF(Sleep_health_and_lifestyle_dataset3[[#This Row],[Physical Activity Level]]&gt;=60,"High",IF(Sleep_health_and_lifestyle_dataset3[[#This Row],[Physical Activity Level]]&gt;=40,"Medium","Low"))</f>
        <v>High</v>
      </c>
    </row>
    <row r="287" spans="1:15" x14ac:dyDescent="0.25">
      <c r="A287">
        <v>286</v>
      </c>
      <c r="B287" t="s">
        <v>28</v>
      </c>
      <c r="C287">
        <v>50</v>
      </c>
      <c r="D287" t="s">
        <v>29</v>
      </c>
      <c r="E287">
        <v>6</v>
      </c>
      <c r="F287">
        <v>6</v>
      </c>
      <c r="G287">
        <v>90</v>
      </c>
      <c r="H287">
        <v>8</v>
      </c>
      <c r="I287" t="s">
        <v>15</v>
      </c>
      <c r="J287">
        <v>140</v>
      </c>
      <c r="K287">
        <v>95</v>
      </c>
      <c r="L287">
        <v>10000</v>
      </c>
      <c r="M287" t="s">
        <v>24</v>
      </c>
      <c r="N287" t="str">
        <f>IF(Sleep_health_and_lifestyle_dataset3[[#This Row],[Sleep Duration]]&gt;=8,"Good",IF(Sleep_health_and_lifestyle_dataset3[[#This Row],[Sleep Duration]]&gt;=5,"Average","Poor"))</f>
        <v>Average</v>
      </c>
      <c r="O287" t="str">
        <f>IF(Sleep_health_and_lifestyle_dataset3[[#This Row],[Physical Activity Level]]&gt;=60,"High",IF(Sleep_health_and_lifestyle_dataset3[[#This Row],[Physical Activity Level]]&gt;=40,"Medium","Low"))</f>
        <v>High</v>
      </c>
    </row>
    <row r="288" spans="1:15" x14ac:dyDescent="0.25">
      <c r="A288">
        <v>287</v>
      </c>
      <c r="B288" t="s">
        <v>28</v>
      </c>
      <c r="C288">
        <v>50</v>
      </c>
      <c r="D288" t="s">
        <v>29</v>
      </c>
      <c r="E288">
        <v>6</v>
      </c>
      <c r="F288">
        <v>6</v>
      </c>
      <c r="G288">
        <v>90</v>
      </c>
      <c r="H288">
        <v>8</v>
      </c>
      <c r="I288" t="s">
        <v>15</v>
      </c>
      <c r="J288">
        <v>140</v>
      </c>
      <c r="K288">
        <v>95</v>
      </c>
      <c r="L288">
        <v>10000</v>
      </c>
      <c r="M288" t="s">
        <v>24</v>
      </c>
      <c r="N288" t="str">
        <f>IF(Sleep_health_and_lifestyle_dataset3[[#This Row],[Sleep Duration]]&gt;=8,"Good",IF(Sleep_health_and_lifestyle_dataset3[[#This Row],[Sleep Duration]]&gt;=5,"Average","Poor"))</f>
        <v>Average</v>
      </c>
      <c r="O288" t="str">
        <f>IF(Sleep_health_and_lifestyle_dataset3[[#This Row],[Physical Activity Level]]&gt;=60,"High",IF(Sleep_health_and_lifestyle_dataset3[[#This Row],[Physical Activity Level]]&gt;=40,"Medium","Low"))</f>
        <v>High</v>
      </c>
    </row>
    <row r="289" spans="1:15" x14ac:dyDescent="0.25">
      <c r="A289">
        <v>288</v>
      </c>
      <c r="B289" t="s">
        <v>28</v>
      </c>
      <c r="C289">
        <v>50</v>
      </c>
      <c r="D289" t="s">
        <v>29</v>
      </c>
      <c r="E289">
        <v>6</v>
      </c>
      <c r="F289">
        <v>6</v>
      </c>
      <c r="G289">
        <v>90</v>
      </c>
      <c r="H289">
        <v>8</v>
      </c>
      <c r="I289" t="s">
        <v>15</v>
      </c>
      <c r="J289">
        <v>140</v>
      </c>
      <c r="K289">
        <v>95</v>
      </c>
      <c r="L289">
        <v>10000</v>
      </c>
      <c r="M289" t="s">
        <v>24</v>
      </c>
      <c r="N289" t="str">
        <f>IF(Sleep_health_and_lifestyle_dataset3[[#This Row],[Sleep Duration]]&gt;=8,"Good",IF(Sleep_health_and_lifestyle_dataset3[[#This Row],[Sleep Duration]]&gt;=5,"Average","Poor"))</f>
        <v>Average</v>
      </c>
      <c r="O289" t="str">
        <f>IF(Sleep_health_and_lifestyle_dataset3[[#This Row],[Physical Activity Level]]&gt;=60,"High",IF(Sleep_health_and_lifestyle_dataset3[[#This Row],[Physical Activity Level]]&gt;=40,"Medium","Low"))</f>
        <v>High</v>
      </c>
    </row>
    <row r="290" spans="1:15" x14ac:dyDescent="0.25">
      <c r="A290">
        <v>289</v>
      </c>
      <c r="B290" t="s">
        <v>28</v>
      </c>
      <c r="C290">
        <v>50</v>
      </c>
      <c r="D290" t="s">
        <v>29</v>
      </c>
      <c r="E290">
        <v>6</v>
      </c>
      <c r="F290">
        <v>6</v>
      </c>
      <c r="G290">
        <v>90</v>
      </c>
      <c r="H290">
        <v>8</v>
      </c>
      <c r="I290" t="s">
        <v>15</v>
      </c>
      <c r="J290">
        <v>140</v>
      </c>
      <c r="K290">
        <v>95</v>
      </c>
      <c r="L290">
        <v>10000</v>
      </c>
      <c r="M290" t="s">
        <v>24</v>
      </c>
      <c r="N290" t="str">
        <f>IF(Sleep_health_and_lifestyle_dataset3[[#This Row],[Sleep Duration]]&gt;=8,"Good",IF(Sleep_health_and_lifestyle_dataset3[[#This Row],[Sleep Duration]]&gt;=5,"Average","Poor"))</f>
        <v>Average</v>
      </c>
      <c r="O290" t="str">
        <f>IF(Sleep_health_and_lifestyle_dataset3[[#This Row],[Physical Activity Level]]&gt;=60,"High",IF(Sleep_health_and_lifestyle_dataset3[[#This Row],[Physical Activity Level]]&gt;=40,"Medium","Low"))</f>
        <v>High</v>
      </c>
    </row>
    <row r="291" spans="1:15" x14ac:dyDescent="0.25">
      <c r="A291">
        <v>290</v>
      </c>
      <c r="B291" t="s">
        <v>28</v>
      </c>
      <c r="C291">
        <v>50</v>
      </c>
      <c r="D291" t="s">
        <v>29</v>
      </c>
      <c r="E291">
        <v>6.1</v>
      </c>
      <c r="F291">
        <v>6</v>
      </c>
      <c r="G291">
        <v>90</v>
      </c>
      <c r="H291">
        <v>8</v>
      </c>
      <c r="I291" t="s">
        <v>15</v>
      </c>
      <c r="J291">
        <v>140</v>
      </c>
      <c r="K291">
        <v>95</v>
      </c>
      <c r="L291">
        <v>10000</v>
      </c>
      <c r="M291" t="s">
        <v>24</v>
      </c>
      <c r="N291" t="str">
        <f>IF(Sleep_health_and_lifestyle_dataset3[[#This Row],[Sleep Duration]]&gt;=8,"Good",IF(Sleep_health_and_lifestyle_dataset3[[#This Row],[Sleep Duration]]&gt;=5,"Average","Poor"))</f>
        <v>Average</v>
      </c>
      <c r="O291" t="str">
        <f>IF(Sleep_health_and_lifestyle_dataset3[[#This Row],[Physical Activity Level]]&gt;=60,"High",IF(Sleep_health_and_lifestyle_dataset3[[#This Row],[Physical Activity Level]]&gt;=40,"Medium","Low"))</f>
        <v>High</v>
      </c>
    </row>
    <row r="292" spans="1:15" x14ac:dyDescent="0.25">
      <c r="A292">
        <v>291</v>
      </c>
      <c r="B292" t="s">
        <v>28</v>
      </c>
      <c r="C292">
        <v>50</v>
      </c>
      <c r="D292" t="s">
        <v>29</v>
      </c>
      <c r="E292">
        <v>6</v>
      </c>
      <c r="F292">
        <v>6</v>
      </c>
      <c r="G292">
        <v>90</v>
      </c>
      <c r="H292">
        <v>8</v>
      </c>
      <c r="I292" t="s">
        <v>15</v>
      </c>
      <c r="J292">
        <v>140</v>
      </c>
      <c r="K292">
        <v>95</v>
      </c>
      <c r="L292">
        <v>10000</v>
      </c>
      <c r="M292" t="s">
        <v>24</v>
      </c>
      <c r="N292" t="str">
        <f>IF(Sleep_health_and_lifestyle_dataset3[[#This Row],[Sleep Duration]]&gt;=8,"Good",IF(Sleep_health_and_lifestyle_dataset3[[#This Row],[Sleep Duration]]&gt;=5,"Average","Poor"))</f>
        <v>Average</v>
      </c>
      <c r="O292" t="str">
        <f>IF(Sleep_health_and_lifestyle_dataset3[[#This Row],[Physical Activity Level]]&gt;=60,"High",IF(Sleep_health_and_lifestyle_dataset3[[#This Row],[Physical Activity Level]]&gt;=40,"Medium","Low"))</f>
        <v>High</v>
      </c>
    </row>
    <row r="293" spans="1:15" x14ac:dyDescent="0.25">
      <c r="A293">
        <v>292</v>
      </c>
      <c r="B293" t="s">
        <v>28</v>
      </c>
      <c r="C293">
        <v>50</v>
      </c>
      <c r="D293" t="s">
        <v>29</v>
      </c>
      <c r="E293">
        <v>6.1</v>
      </c>
      <c r="F293">
        <v>6</v>
      </c>
      <c r="G293">
        <v>90</v>
      </c>
      <c r="H293">
        <v>8</v>
      </c>
      <c r="I293" t="s">
        <v>15</v>
      </c>
      <c r="J293">
        <v>140</v>
      </c>
      <c r="K293">
        <v>95</v>
      </c>
      <c r="L293">
        <v>10000</v>
      </c>
      <c r="M293" t="s">
        <v>24</v>
      </c>
      <c r="N293" t="str">
        <f>IF(Sleep_health_and_lifestyle_dataset3[[#This Row],[Sleep Duration]]&gt;=8,"Good",IF(Sleep_health_and_lifestyle_dataset3[[#This Row],[Sleep Duration]]&gt;=5,"Average","Poor"))</f>
        <v>Average</v>
      </c>
      <c r="O293" t="str">
        <f>IF(Sleep_health_and_lifestyle_dataset3[[#This Row],[Physical Activity Level]]&gt;=60,"High",IF(Sleep_health_and_lifestyle_dataset3[[#This Row],[Physical Activity Level]]&gt;=40,"Medium","Low"))</f>
        <v>High</v>
      </c>
    </row>
    <row r="294" spans="1:15" x14ac:dyDescent="0.25">
      <c r="A294">
        <v>293</v>
      </c>
      <c r="B294" t="s">
        <v>28</v>
      </c>
      <c r="C294">
        <v>50</v>
      </c>
      <c r="D294" t="s">
        <v>29</v>
      </c>
      <c r="E294">
        <v>6.1</v>
      </c>
      <c r="F294">
        <v>6</v>
      </c>
      <c r="G294">
        <v>90</v>
      </c>
      <c r="H294">
        <v>8</v>
      </c>
      <c r="I294" t="s">
        <v>15</v>
      </c>
      <c r="J294">
        <v>140</v>
      </c>
      <c r="K294">
        <v>95</v>
      </c>
      <c r="L294">
        <v>10000</v>
      </c>
      <c r="M294" t="s">
        <v>24</v>
      </c>
      <c r="N294" t="str">
        <f>IF(Sleep_health_and_lifestyle_dataset3[[#This Row],[Sleep Duration]]&gt;=8,"Good",IF(Sleep_health_and_lifestyle_dataset3[[#This Row],[Sleep Duration]]&gt;=5,"Average","Poor"))</f>
        <v>Average</v>
      </c>
      <c r="O294" t="str">
        <f>IF(Sleep_health_and_lifestyle_dataset3[[#This Row],[Physical Activity Level]]&gt;=60,"High",IF(Sleep_health_and_lifestyle_dataset3[[#This Row],[Physical Activity Level]]&gt;=40,"Medium","Low"))</f>
        <v>High</v>
      </c>
    </row>
    <row r="295" spans="1:15" x14ac:dyDescent="0.25">
      <c r="A295">
        <v>294</v>
      </c>
      <c r="B295" t="s">
        <v>28</v>
      </c>
      <c r="C295">
        <v>50</v>
      </c>
      <c r="D295" t="s">
        <v>29</v>
      </c>
      <c r="E295">
        <v>6</v>
      </c>
      <c r="F295">
        <v>6</v>
      </c>
      <c r="G295">
        <v>90</v>
      </c>
      <c r="H295">
        <v>8</v>
      </c>
      <c r="I295" t="s">
        <v>15</v>
      </c>
      <c r="J295">
        <v>140</v>
      </c>
      <c r="K295">
        <v>95</v>
      </c>
      <c r="L295">
        <v>10000</v>
      </c>
      <c r="M295" t="s">
        <v>24</v>
      </c>
      <c r="N295" t="str">
        <f>IF(Sleep_health_and_lifestyle_dataset3[[#This Row],[Sleep Duration]]&gt;=8,"Good",IF(Sleep_health_and_lifestyle_dataset3[[#This Row],[Sleep Duration]]&gt;=5,"Average","Poor"))</f>
        <v>Average</v>
      </c>
      <c r="O295" t="str">
        <f>IF(Sleep_health_and_lifestyle_dataset3[[#This Row],[Physical Activity Level]]&gt;=60,"High",IF(Sleep_health_and_lifestyle_dataset3[[#This Row],[Physical Activity Level]]&gt;=40,"Medium","Low"))</f>
        <v>High</v>
      </c>
    </row>
    <row r="296" spans="1:15" x14ac:dyDescent="0.25">
      <c r="A296">
        <v>295</v>
      </c>
      <c r="B296" t="s">
        <v>28</v>
      </c>
      <c r="C296">
        <v>50</v>
      </c>
      <c r="D296" t="s">
        <v>29</v>
      </c>
      <c r="E296">
        <v>6.1</v>
      </c>
      <c r="F296">
        <v>6</v>
      </c>
      <c r="G296">
        <v>90</v>
      </c>
      <c r="H296">
        <v>8</v>
      </c>
      <c r="I296" t="s">
        <v>15</v>
      </c>
      <c r="J296">
        <v>140</v>
      </c>
      <c r="K296">
        <v>95</v>
      </c>
      <c r="L296">
        <v>10000</v>
      </c>
      <c r="M296" t="s">
        <v>24</v>
      </c>
      <c r="N296" t="str">
        <f>IF(Sleep_health_and_lifestyle_dataset3[[#This Row],[Sleep Duration]]&gt;=8,"Good",IF(Sleep_health_and_lifestyle_dataset3[[#This Row],[Sleep Duration]]&gt;=5,"Average","Poor"))</f>
        <v>Average</v>
      </c>
      <c r="O296" t="str">
        <f>IF(Sleep_health_and_lifestyle_dataset3[[#This Row],[Physical Activity Level]]&gt;=60,"High",IF(Sleep_health_and_lifestyle_dataset3[[#This Row],[Physical Activity Level]]&gt;=40,"Medium","Low"))</f>
        <v>High</v>
      </c>
    </row>
    <row r="297" spans="1:15" x14ac:dyDescent="0.25">
      <c r="A297">
        <v>296</v>
      </c>
      <c r="B297" t="s">
        <v>28</v>
      </c>
      <c r="C297">
        <v>50</v>
      </c>
      <c r="D297" t="s">
        <v>29</v>
      </c>
      <c r="E297">
        <v>6</v>
      </c>
      <c r="F297">
        <v>6</v>
      </c>
      <c r="G297">
        <v>90</v>
      </c>
      <c r="H297">
        <v>8</v>
      </c>
      <c r="I297" t="s">
        <v>15</v>
      </c>
      <c r="J297">
        <v>140</v>
      </c>
      <c r="K297">
        <v>95</v>
      </c>
      <c r="L297">
        <v>10000</v>
      </c>
      <c r="M297" t="s">
        <v>24</v>
      </c>
      <c r="N297" t="str">
        <f>IF(Sleep_health_and_lifestyle_dataset3[[#This Row],[Sleep Duration]]&gt;=8,"Good",IF(Sleep_health_and_lifestyle_dataset3[[#This Row],[Sleep Duration]]&gt;=5,"Average","Poor"))</f>
        <v>Average</v>
      </c>
      <c r="O297" t="str">
        <f>IF(Sleep_health_and_lifestyle_dataset3[[#This Row],[Physical Activity Level]]&gt;=60,"High",IF(Sleep_health_and_lifestyle_dataset3[[#This Row],[Physical Activity Level]]&gt;=40,"Medium","Low"))</f>
        <v>High</v>
      </c>
    </row>
    <row r="298" spans="1:15" x14ac:dyDescent="0.25">
      <c r="A298">
        <v>297</v>
      </c>
      <c r="B298" t="s">
        <v>28</v>
      </c>
      <c r="C298">
        <v>50</v>
      </c>
      <c r="D298" t="s">
        <v>29</v>
      </c>
      <c r="E298">
        <v>6.1</v>
      </c>
      <c r="F298">
        <v>6</v>
      </c>
      <c r="G298">
        <v>90</v>
      </c>
      <c r="H298">
        <v>8</v>
      </c>
      <c r="I298" t="s">
        <v>15</v>
      </c>
      <c r="J298">
        <v>140</v>
      </c>
      <c r="K298">
        <v>95</v>
      </c>
      <c r="L298">
        <v>10000</v>
      </c>
      <c r="M298" t="s">
        <v>24</v>
      </c>
      <c r="N298" t="str">
        <f>IF(Sleep_health_and_lifestyle_dataset3[[#This Row],[Sleep Duration]]&gt;=8,"Good",IF(Sleep_health_and_lifestyle_dataset3[[#This Row],[Sleep Duration]]&gt;=5,"Average","Poor"))</f>
        <v>Average</v>
      </c>
      <c r="O298" t="str">
        <f>IF(Sleep_health_and_lifestyle_dataset3[[#This Row],[Physical Activity Level]]&gt;=60,"High",IF(Sleep_health_and_lifestyle_dataset3[[#This Row],[Physical Activity Level]]&gt;=40,"Medium","Low"))</f>
        <v>High</v>
      </c>
    </row>
    <row r="299" spans="1:15" x14ac:dyDescent="0.25">
      <c r="A299">
        <v>298</v>
      </c>
      <c r="B299" t="s">
        <v>28</v>
      </c>
      <c r="C299">
        <v>50</v>
      </c>
      <c r="D299" t="s">
        <v>29</v>
      </c>
      <c r="E299">
        <v>6.1</v>
      </c>
      <c r="F299">
        <v>6</v>
      </c>
      <c r="G299">
        <v>90</v>
      </c>
      <c r="H299">
        <v>8</v>
      </c>
      <c r="I299" t="s">
        <v>15</v>
      </c>
      <c r="J299">
        <v>140</v>
      </c>
      <c r="K299">
        <v>95</v>
      </c>
      <c r="L299">
        <v>10000</v>
      </c>
      <c r="M299" t="s">
        <v>24</v>
      </c>
      <c r="N299" t="str">
        <f>IF(Sleep_health_and_lifestyle_dataset3[[#This Row],[Sleep Duration]]&gt;=8,"Good",IF(Sleep_health_and_lifestyle_dataset3[[#This Row],[Sleep Duration]]&gt;=5,"Average","Poor"))</f>
        <v>Average</v>
      </c>
      <c r="O299" t="str">
        <f>IF(Sleep_health_and_lifestyle_dataset3[[#This Row],[Physical Activity Level]]&gt;=60,"High",IF(Sleep_health_and_lifestyle_dataset3[[#This Row],[Physical Activity Level]]&gt;=40,"Medium","Low"))</f>
        <v>High</v>
      </c>
    </row>
    <row r="300" spans="1:15" x14ac:dyDescent="0.25">
      <c r="A300">
        <v>299</v>
      </c>
      <c r="B300" t="s">
        <v>28</v>
      </c>
      <c r="C300">
        <v>51</v>
      </c>
      <c r="D300" t="s">
        <v>34</v>
      </c>
      <c r="E300">
        <v>8.5</v>
      </c>
      <c r="F300">
        <v>9</v>
      </c>
      <c r="G300">
        <v>30</v>
      </c>
      <c r="H300">
        <v>3</v>
      </c>
      <c r="I300" t="s">
        <v>19</v>
      </c>
      <c r="J300">
        <v>125</v>
      </c>
      <c r="K300">
        <v>80</v>
      </c>
      <c r="L300">
        <v>5000</v>
      </c>
      <c r="M300" t="s">
        <v>17</v>
      </c>
      <c r="N300" t="str">
        <f>IF(Sleep_health_and_lifestyle_dataset3[[#This Row],[Sleep Duration]]&gt;=8,"Good",IF(Sleep_health_and_lifestyle_dataset3[[#This Row],[Sleep Duration]]&gt;=5,"Average","Poor"))</f>
        <v>Good</v>
      </c>
      <c r="O300" t="str">
        <f>IF(Sleep_health_and_lifestyle_dataset3[[#This Row],[Physical Activity Level]]&gt;=60,"High",IF(Sleep_health_and_lifestyle_dataset3[[#This Row],[Physical Activity Level]]&gt;=40,"Medium","Low"))</f>
        <v>Low</v>
      </c>
    </row>
    <row r="301" spans="1:15" x14ac:dyDescent="0.25">
      <c r="A301">
        <v>300</v>
      </c>
      <c r="B301" t="s">
        <v>28</v>
      </c>
      <c r="C301">
        <v>51</v>
      </c>
      <c r="D301" t="s">
        <v>34</v>
      </c>
      <c r="E301">
        <v>8.5</v>
      </c>
      <c r="F301">
        <v>9</v>
      </c>
      <c r="G301">
        <v>30</v>
      </c>
      <c r="H301">
        <v>3</v>
      </c>
      <c r="I301" t="s">
        <v>19</v>
      </c>
      <c r="J301">
        <v>125</v>
      </c>
      <c r="K301">
        <v>80</v>
      </c>
      <c r="L301">
        <v>5000</v>
      </c>
      <c r="M301" t="s">
        <v>17</v>
      </c>
      <c r="N301" t="str">
        <f>IF(Sleep_health_and_lifestyle_dataset3[[#This Row],[Sleep Duration]]&gt;=8,"Good",IF(Sleep_health_and_lifestyle_dataset3[[#This Row],[Sleep Duration]]&gt;=5,"Average","Poor"))</f>
        <v>Good</v>
      </c>
      <c r="O301" t="str">
        <f>IF(Sleep_health_and_lifestyle_dataset3[[#This Row],[Physical Activity Level]]&gt;=60,"High",IF(Sleep_health_and_lifestyle_dataset3[[#This Row],[Physical Activity Level]]&gt;=40,"Medium","Low"))</f>
        <v>Low</v>
      </c>
    </row>
    <row r="302" spans="1:15" x14ac:dyDescent="0.25">
      <c r="A302">
        <v>301</v>
      </c>
      <c r="B302" t="s">
        <v>28</v>
      </c>
      <c r="C302">
        <v>51</v>
      </c>
      <c r="D302" t="s">
        <v>34</v>
      </c>
      <c r="E302">
        <v>8.5</v>
      </c>
      <c r="F302">
        <v>9</v>
      </c>
      <c r="G302">
        <v>30</v>
      </c>
      <c r="H302">
        <v>3</v>
      </c>
      <c r="I302" t="s">
        <v>19</v>
      </c>
      <c r="J302">
        <v>125</v>
      </c>
      <c r="K302">
        <v>80</v>
      </c>
      <c r="L302">
        <v>5000</v>
      </c>
      <c r="M302" t="s">
        <v>17</v>
      </c>
      <c r="N302" t="str">
        <f>IF(Sleep_health_and_lifestyle_dataset3[[#This Row],[Sleep Duration]]&gt;=8,"Good",IF(Sleep_health_and_lifestyle_dataset3[[#This Row],[Sleep Duration]]&gt;=5,"Average","Poor"))</f>
        <v>Good</v>
      </c>
      <c r="O302" t="str">
        <f>IF(Sleep_health_and_lifestyle_dataset3[[#This Row],[Physical Activity Level]]&gt;=60,"High",IF(Sleep_health_and_lifestyle_dataset3[[#This Row],[Physical Activity Level]]&gt;=40,"Medium","Low"))</f>
        <v>Low</v>
      </c>
    </row>
    <row r="303" spans="1:15" x14ac:dyDescent="0.25">
      <c r="A303">
        <v>302</v>
      </c>
      <c r="B303" t="s">
        <v>28</v>
      </c>
      <c r="C303">
        <v>51</v>
      </c>
      <c r="D303" t="s">
        <v>34</v>
      </c>
      <c r="E303">
        <v>8.5</v>
      </c>
      <c r="F303">
        <v>9</v>
      </c>
      <c r="G303">
        <v>30</v>
      </c>
      <c r="H303">
        <v>3</v>
      </c>
      <c r="I303" t="s">
        <v>19</v>
      </c>
      <c r="J303">
        <v>125</v>
      </c>
      <c r="K303">
        <v>80</v>
      </c>
      <c r="L303">
        <v>5000</v>
      </c>
      <c r="M303" t="s">
        <v>17</v>
      </c>
      <c r="N303" t="str">
        <f>IF(Sleep_health_and_lifestyle_dataset3[[#This Row],[Sleep Duration]]&gt;=8,"Good",IF(Sleep_health_and_lifestyle_dataset3[[#This Row],[Sleep Duration]]&gt;=5,"Average","Poor"))</f>
        <v>Good</v>
      </c>
      <c r="O303" t="str">
        <f>IF(Sleep_health_and_lifestyle_dataset3[[#This Row],[Physical Activity Level]]&gt;=60,"High",IF(Sleep_health_and_lifestyle_dataset3[[#This Row],[Physical Activity Level]]&gt;=40,"Medium","Low"))</f>
        <v>Low</v>
      </c>
    </row>
    <row r="304" spans="1:15" x14ac:dyDescent="0.25">
      <c r="A304">
        <v>303</v>
      </c>
      <c r="B304" t="s">
        <v>28</v>
      </c>
      <c r="C304">
        <v>51</v>
      </c>
      <c r="D304" t="s">
        <v>29</v>
      </c>
      <c r="E304">
        <v>7.1</v>
      </c>
      <c r="F304">
        <v>7</v>
      </c>
      <c r="G304">
        <v>55</v>
      </c>
      <c r="H304">
        <v>6</v>
      </c>
      <c r="I304" t="s">
        <v>30</v>
      </c>
      <c r="J304">
        <v>125</v>
      </c>
      <c r="K304">
        <v>82</v>
      </c>
      <c r="L304">
        <v>6000</v>
      </c>
      <c r="M304" t="s">
        <v>17</v>
      </c>
      <c r="N304" t="str">
        <f>IF(Sleep_health_and_lifestyle_dataset3[[#This Row],[Sleep Duration]]&gt;=8,"Good",IF(Sleep_health_and_lifestyle_dataset3[[#This Row],[Sleep Duration]]&gt;=5,"Average","Poor"))</f>
        <v>Average</v>
      </c>
      <c r="O304" t="str">
        <f>IF(Sleep_health_and_lifestyle_dataset3[[#This Row],[Physical Activity Level]]&gt;=60,"High",IF(Sleep_health_and_lifestyle_dataset3[[#This Row],[Physical Activity Level]]&gt;=40,"Medium","Low"))</f>
        <v>Medium</v>
      </c>
    </row>
    <row r="305" spans="1:15" x14ac:dyDescent="0.25">
      <c r="A305">
        <v>304</v>
      </c>
      <c r="B305" t="s">
        <v>28</v>
      </c>
      <c r="C305">
        <v>51</v>
      </c>
      <c r="D305" t="s">
        <v>29</v>
      </c>
      <c r="E305">
        <v>6</v>
      </c>
      <c r="F305">
        <v>6</v>
      </c>
      <c r="G305">
        <v>90</v>
      </c>
      <c r="H305">
        <v>8</v>
      </c>
      <c r="I305" t="s">
        <v>15</v>
      </c>
      <c r="J305">
        <v>140</v>
      </c>
      <c r="K305">
        <v>95</v>
      </c>
      <c r="L305">
        <v>10000</v>
      </c>
      <c r="M305" t="s">
        <v>24</v>
      </c>
      <c r="N305" t="str">
        <f>IF(Sleep_health_and_lifestyle_dataset3[[#This Row],[Sleep Duration]]&gt;=8,"Good",IF(Sleep_health_and_lifestyle_dataset3[[#This Row],[Sleep Duration]]&gt;=5,"Average","Poor"))</f>
        <v>Average</v>
      </c>
      <c r="O305" t="str">
        <f>IF(Sleep_health_and_lifestyle_dataset3[[#This Row],[Physical Activity Level]]&gt;=60,"High",IF(Sleep_health_and_lifestyle_dataset3[[#This Row],[Physical Activity Level]]&gt;=40,"Medium","Low"))</f>
        <v>High</v>
      </c>
    </row>
    <row r="306" spans="1:15" x14ac:dyDescent="0.25">
      <c r="A306">
        <v>305</v>
      </c>
      <c r="B306" t="s">
        <v>28</v>
      </c>
      <c r="C306">
        <v>51</v>
      </c>
      <c r="D306" t="s">
        <v>29</v>
      </c>
      <c r="E306">
        <v>6.1</v>
      </c>
      <c r="F306">
        <v>6</v>
      </c>
      <c r="G306">
        <v>90</v>
      </c>
      <c r="H306">
        <v>8</v>
      </c>
      <c r="I306" t="s">
        <v>15</v>
      </c>
      <c r="J306">
        <v>140</v>
      </c>
      <c r="K306">
        <v>95</v>
      </c>
      <c r="L306">
        <v>10000</v>
      </c>
      <c r="M306" t="s">
        <v>24</v>
      </c>
      <c r="N306" t="str">
        <f>IF(Sleep_health_and_lifestyle_dataset3[[#This Row],[Sleep Duration]]&gt;=8,"Good",IF(Sleep_health_and_lifestyle_dataset3[[#This Row],[Sleep Duration]]&gt;=5,"Average","Poor"))</f>
        <v>Average</v>
      </c>
      <c r="O306" t="str">
        <f>IF(Sleep_health_and_lifestyle_dataset3[[#This Row],[Physical Activity Level]]&gt;=60,"High",IF(Sleep_health_and_lifestyle_dataset3[[#This Row],[Physical Activity Level]]&gt;=40,"Medium","Low"))</f>
        <v>High</v>
      </c>
    </row>
    <row r="307" spans="1:15" x14ac:dyDescent="0.25">
      <c r="A307">
        <v>306</v>
      </c>
      <c r="B307" t="s">
        <v>28</v>
      </c>
      <c r="C307">
        <v>51</v>
      </c>
      <c r="D307" t="s">
        <v>29</v>
      </c>
      <c r="E307">
        <v>6.1</v>
      </c>
      <c r="F307">
        <v>6</v>
      </c>
      <c r="G307">
        <v>90</v>
      </c>
      <c r="H307">
        <v>8</v>
      </c>
      <c r="I307" t="s">
        <v>15</v>
      </c>
      <c r="J307">
        <v>140</v>
      </c>
      <c r="K307">
        <v>95</v>
      </c>
      <c r="L307">
        <v>10000</v>
      </c>
      <c r="M307" t="s">
        <v>24</v>
      </c>
      <c r="N307" t="str">
        <f>IF(Sleep_health_and_lifestyle_dataset3[[#This Row],[Sleep Duration]]&gt;=8,"Good",IF(Sleep_health_and_lifestyle_dataset3[[#This Row],[Sleep Duration]]&gt;=5,"Average","Poor"))</f>
        <v>Average</v>
      </c>
      <c r="O307" t="str">
        <f>IF(Sleep_health_and_lifestyle_dataset3[[#This Row],[Physical Activity Level]]&gt;=60,"High",IF(Sleep_health_and_lifestyle_dataset3[[#This Row],[Physical Activity Level]]&gt;=40,"Medium","Low"))</f>
        <v>High</v>
      </c>
    </row>
    <row r="308" spans="1:15" x14ac:dyDescent="0.25">
      <c r="A308">
        <v>307</v>
      </c>
      <c r="B308" t="s">
        <v>28</v>
      </c>
      <c r="C308">
        <v>52</v>
      </c>
      <c r="D308" t="s">
        <v>35</v>
      </c>
      <c r="E308">
        <v>6.5</v>
      </c>
      <c r="F308">
        <v>7</v>
      </c>
      <c r="G308">
        <v>45</v>
      </c>
      <c r="H308">
        <v>7</v>
      </c>
      <c r="I308" t="s">
        <v>15</v>
      </c>
      <c r="J308">
        <v>130</v>
      </c>
      <c r="K308">
        <v>85</v>
      </c>
      <c r="L308">
        <v>6000</v>
      </c>
      <c r="M308" t="s">
        <v>25</v>
      </c>
      <c r="N308" t="str">
        <f>IF(Sleep_health_and_lifestyle_dataset3[[#This Row],[Sleep Duration]]&gt;=8,"Good",IF(Sleep_health_and_lifestyle_dataset3[[#This Row],[Sleep Duration]]&gt;=5,"Average","Poor"))</f>
        <v>Average</v>
      </c>
      <c r="O308" t="str">
        <f>IF(Sleep_health_and_lifestyle_dataset3[[#This Row],[Physical Activity Level]]&gt;=60,"High",IF(Sleep_health_and_lifestyle_dataset3[[#This Row],[Physical Activity Level]]&gt;=40,"Medium","Low"))</f>
        <v>Medium</v>
      </c>
    </row>
    <row r="309" spans="1:15" x14ac:dyDescent="0.25">
      <c r="A309">
        <v>308</v>
      </c>
      <c r="B309" t="s">
        <v>28</v>
      </c>
      <c r="C309">
        <v>52</v>
      </c>
      <c r="D309" t="s">
        <v>35</v>
      </c>
      <c r="E309">
        <v>6.5</v>
      </c>
      <c r="F309">
        <v>7</v>
      </c>
      <c r="G309">
        <v>45</v>
      </c>
      <c r="H309">
        <v>7</v>
      </c>
      <c r="I309" t="s">
        <v>15</v>
      </c>
      <c r="J309">
        <v>130</v>
      </c>
      <c r="K309">
        <v>85</v>
      </c>
      <c r="L309">
        <v>6000</v>
      </c>
      <c r="M309" t="s">
        <v>25</v>
      </c>
      <c r="N309" t="str">
        <f>IF(Sleep_health_and_lifestyle_dataset3[[#This Row],[Sleep Duration]]&gt;=8,"Good",IF(Sleep_health_and_lifestyle_dataset3[[#This Row],[Sleep Duration]]&gt;=5,"Average","Poor"))</f>
        <v>Average</v>
      </c>
      <c r="O309" t="str">
        <f>IF(Sleep_health_and_lifestyle_dataset3[[#This Row],[Physical Activity Level]]&gt;=60,"High",IF(Sleep_health_and_lifestyle_dataset3[[#This Row],[Physical Activity Level]]&gt;=40,"Medium","Low"))</f>
        <v>Medium</v>
      </c>
    </row>
    <row r="310" spans="1:15" x14ac:dyDescent="0.25">
      <c r="A310">
        <v>309</v>
      </c>
      <c r="B310" t="s">
        <v>28</v>
      </c>
      <c r="C310">
        <v>52</v>
      </c>
      <c r="D310" t="s">
        <v>35</v>
      </c>
      <c r="E310">
        <v>6.6</v>
      </c>
      <c r="F310">
        <v>7</v>
      </c>
      <c r="G310">
        <v>45</v>
      </c>
      <c r="H310">
        <v>7</v>
      </c>
      <c r="I310" t="s">
        <v>15</v>
      </c>
      <c r="J310">
        <v>130</v>
      </c>
      <c r="K310">
        <v>85</v>
      </c>
      <c r="L310">
        <v>6000</v>
      </c>
      <c r="M310" t="s">
        <v>25</v>
      </c>
      <c r="N310" t="str">
        <f>IF(Sleep_health_and_lifestyle_dataset3[[#This Row],[Sleep Duration]]&gt;=8,"Good",IF(Sleep_health_and_lifestyle_dataset3[[#This Row],[Sleep Duration]]&gt;=5,"Average","Poor"))</f>
        <v>Average</v>
      </c>
      <c r="O310" t="str">
        <f>IF(Sleep_health_and_lifestyle_dataset3[[#This Row],[Physical Activity Level]]&gt;=60,"High",IF(Sleep_health_and_lifestyle_dataset3[[#This Row],[Physical Activity Level]]&gt;=40,"Medium","Low"))</f>
        <v>Medium</v>
      </c>
    </row>
    <row r="311" spans="1:15" x14ac:dyDescent="0.25">
      <c r="A311">
        <v>310</v>
      </c>
      <c r="B311" t="s">
        <v>28</v>
      </c>
      <c r="C311">
        <v>52</v>
      </c>
      <c r="D311" t="s">
        <v>35</v>
      </c>
      <c r="E311">
        <v>6.6</v>
      </c>
      <c r="F311">
        <v>7</v>
      </c>
      <c r="G311">
        <v>45</v>
      </c>
      <c r="H311">
        <v>7</v>
      </c>
      <c r="I311" t="s">
        <v>15</v>
      </c>
      <c r="J311">
        <v>130</v>
      </c>
      <c r="K311">
        <v>85</v>
      </c>
      <c r="L311">
        <v>6000</v>
      </c>
      <c r="M311" t="s">
        <v>25</v>
      </c>
      <c r="N311" t="str">
        <f>IF(Sleep_health_and_lifestyle_dataset3[[#This Row],[Sleep Duration]]&gt;=8,"Good",IF(Sleep_health_and_lifestyle_dataset3[[#This Row],[Sleep Duration]]&gt;=5,"Average","Poor"))</f>
        <v>Average</v>
      </c>
      <c r="O311" t="str">
        <f>IF(Sleep_health_and_lifestyle_dataset3[[#This Row],[Physical Activity Level]]&gt;=60,"High",IF(Sleep_health_and_lifestyle_dataset3[[#This Row],[Physical Activity Level]]&gt;=40,"Medium","Low"))</f>
        <v>Medium</v>
      </c>
    </row>
    <row r="312" spans="1:15" x14ac:dyDescent="0.25">
      <c r="A312">
        <v>311</v>
      </c>
      <c r="B312" t="s">
        <v>28</v>
      </c>
      <c r="C312">
        <v>52</v>
      </c>
      <c r="D312" t="s">
        <v>35</v>
      </c>
      <c r="E312">
        <v>6.6</v>
      </c>
      <c r="F312">
        <v>7</v>
      </c>
      <c r="G312">
        <v>45</v>
      </c>
      <c r="H312">
        <v>7</v>
      </c>
      <c r="I312" t="s">
        <v>15</v>
      </c>
      <c r="J312">
        <v>130</v>
      </c>
      <c r="K312">
        <v>85</v>
      </c>
      <c r="L312">
        <v>6000</v>
      </c>
      <c r="M312" t="s">
        <v>25</v>
      </c>
      <c r="N312" t="str">
        <f>IF(Sleep_health_and_lifestyle_dataset3[[#This Row],[Sleep Duration]]&gt;=8,"Good",IF(Sleep_health_and_lifestyle_dataset3[[#This Row],[Sleep Duration]]&gt;=5,"Average","Poor"))</f>
        <v>Average</v>
      </c>
      <c r="O312" t="str">
        <f>IF(Sleep_health_and_lifestyle_dataset3[[#This Row],[Physical Activity Level]]&gt;=60,"High",IF(Sleep_health_and_lifestyle_dataset3[[#This Row],[Physical Activity Level]]&gt;=40,"Medium","Low"))</f>
        <v>Medium</v>
      </c>
    </row>
    <row r="313" spans="1:15" x14ac:dyDescent="0.25">
      <c r="A313">
        <v>312</v>
      </c>
      <c r="B313" t="s">
        <v>28</v>
      </c>
      <c r="C313">
        <v>52</v>
      </c>
      <c r="D313" t="s">
        <v>35</v>
      </c>
      <c r="E313">
        <v>6.6</v>
      </c>
      <c r="F313">
        <v>7</v>
      </c>
      <c r="G313">
        <v>45</v>
      </c>
      <c r="H313">
        <v>7</v>
      </c>
      <c r="I313" t="s">
        <v>15</v>
      </c>
      <c r="J313">
        <v>130</v>
      </c>
      <c r="K313">
        <v>85</v>
      </c>
      <c r="L313">
        <v>6000</v>
      </c>
      <c r="M313" t="s">
        <v>25</v>
      </c>
      <c r="N313" t="str">
        <f>IF(Sleep_health_and_lifestyle_dataset3[[#This Row],[Sleep Duration]]&gt;=8,"Good",IF(Sleep_health_and_lifestyle_dataset3[[#This Row],[Sleep Duration]]&gt;=5,"Average","Poor"))</f>
        <v>Average</v>
      </c>
      <c r="O313" t="str">
        <f>IF(Sleep_health_and_lifestyle_dataset3[[#This Row],[Physical Activity Level]]&gt;=60,"High",IF(Sleep_health_and_lifestyle_dataset3[[#This Row],[Physical Activity Level]]&gt;=40,"Medium","Low"))</f>
        <v>Medium</v>
      </c>
    </row>
    <row r="314" spans="1:15" x14ac:dyDescent="0.25">
      <c r="A314">
        <v>313</v>
      </c>
      <c r="B314" t="s">
        <v>28</v>
      </c>
      <c r="C314">
        <v>52</v>
      </c>
      <c r="D314" t="s">
        <v>34</v>
      </c>
      <c r="E314">
        <v>8.4</v>
      </c>
      <c r="F314">
        <v>9</v>
      </c>
      <c r="G314">
        <v>30</v>
      </c>
      <c r="H314">
        <v>3</v>
      </c>
      <c r="I314" t="s">
        <v>19</v>
      </c>
      <c r="J314">
        <v>125</v>
      </c>
      <c r="K314">
        <v>80</v>
      </c>
      <c r="L314">
        <v>5000</v>
      </c>
      <c r="M314" t="s">
        <v>17</v>
      </c>
      <c r="N314" t="str">
        <f>IF(Sleep_health_and_lifestyle_dataset3[[#This Row],[Sleep Duration]]&gt;=8,"Good",IF(Sleep_health_and_lifestyle_dataset3[[#This Row],[Sleep Duration]]&gt;=5,"Average","Poor"))</f>
        <v>Good</v>
      </c>
      <c r="O314" t="str">
        <f>IF(Sleep_health_and_lifestyle_dataset3[[#This Row],[Physical Activity Level]]&gt;=60,"High",IF(Sleep_health_and_lifestyle_dataset3[[#This Row],[Physical Activity Level]]&gt;=40,"Medium","Low"))</f>
        <v>Low</v>
      </c>
    </row>
    <row r="315" spans="1:15" x14ac:dyDescent="0.25">
      <c r="A315">
        <v>314</v>
      </c>
      <c r="B315" t="s">
        <v>28</v>
      </c>
      <c r="C315">
        <v>52</v>
      </c>
      <c r="D315" t="s">
        <v>34</v>
      </c>
      <c r="E315">
        <v>8.4</v>
      </c>
      <c r="F315">
        <v>9</v>
      </c>
      <c r="G315">
        <v>30</v>
      </c>
      <c r="H315">
        <v>3</v>
      </c>
      <c r="I315" t="s">
        <v>19</v>
      </c>
      <c r="J315">
        <v>125</v>
      </c>
      <c r="K315">
        <v>80</v>
      </c>
      <c r="L315">
        <v>5000</v>
      </c>
      <c r="M315" t="s">
        <v>17</v>
      </c>
      <c r="N315" t="str">
        <f>IF(Sleep_health_and_lifestyle_dataset3[[#This Row],[Sleep Duration]]&gt;=8,"Good",IF(Sleep_health_and_lifestyle_dataset3[[#This Row],[Sleep Duration]]&gt;=5,"Average","Poor"))</f>
        <v>Good</v>
      </c>
      <c r="O315" t="str">
        <f>IF(Sleep_health_and_lifestyle_dataset3[[#This Row],[Physical Activity Level]]&gt;=60,"High",IF(Sleep_health_and_lifestyle_dataset3[[#This Row],[Physical Activity Level]]&gt;=40,"Medium","Low"))</f>
        <v>Low</v>
      </c>
    </row>
    <row r="316" spans="1:15" x14ac:dyDescent="0.25">
      <c r="A316">
        <v>315</v>
      </c>
      <c r="B316" t="s">
        <v>28</v>
      </c>
      <c r="C316">
        <v>52</v>
      </c>
      <c r="D316" t="s">
        <v>34</v>
      </c>
      <c r="E316">
        <v>8.4</v>
      </c>
      <c r="F316">
        <v>9</v>
      </c>
      <c r="G316">
        <v>30</v>
      </c>
      <c r="H316">
        <v>3</v>
      </c>
      <c r="I316" t="s">
        <v>19</v>
      </c>
      <c r="J316">
        <v>125</v>
      </c>
      <c r="K316">
        <v>80</v>
      </c>
      <c r="L316">
        <v>5000</v>
      </c>
      <c r="M316" t="s">
        <v>17</v>
      </c>
      <c r="N316" t="str">
        <f>IF(Sleep_health_and_lifestyle_dataset3[[#This Row],[Sleep Duration]]&gt;=8,"Good",IF(Sleep_health_and_lifestyle_dataset3[[#This Row],[Sleep Duration]]&gt;=5,"Average","Poor"))</f>
        <v>Good</v>
      </c>
      <c r="O316" t="str">
        <f>IF(Sleep_health_and_lifestyle_dataset3[[#This Row],[Physical Activity Level]]&gt;=60,"High",IF(Sleep_health_and_lifestyle_dataset3[[#This Row],[Physical Activity Level]]&gt;=40,"Medium","Low"))</f>
        <v>Low</v>
      </c>
    </row>
    <row r="317" spans="1:15" x14ac:dyDescent="0.25">
      <c r="A317">
        <v>316</v>
      </c>
      <c r="B317" t="s">
        <v>28</v>
      </c>
      <c r="C317">
        <v>53</v>
      </c>
      <c r="D317" t="s">
        <v>34</v>
      </c>
      <c r="E317">
        <v>8.3000000000000007</v>
      </c>
      <c r="F317">
        <v>9</v>
      </c>
      <c r="G317">
        <v>30</v>
      </c>
      <c r="H317">
        <v>3</v>
      </c>
      <c r="I317" t="s">
        <v>19</v>
      </c>
      <c r="J317">
        <v>125</v>
      </c>
      <c r="K317">
        <v>80</v>
      </c>
      <c r="L317">
        <v>5000</v>
      </c>
      <c r="M317" t="s">
        <v>25</v>
      </c>
      <c r="N317" t="str">
        <f>IF(Sleep_health_and_lifestyle_dataset3[[#This Row],[Sleep Duration]]&gt;=8,"Good",IF(Sleep_health_and_lifestyle_dataset3[[#This Row],[Sleep Duration]]&gt;=5,"Average","Poor"))</f>
        <v>Good</v>
      </c>
      <c r="O317" t="str">
        <f>IF(Sleep_health_and_lifestyle_dataset3[[#This Row],[Physical Activity Level]]&gt;=60,"High",IF(Sleep_health_and_lifestyle_dataset3[[#This Row],[Physical Activity Level]]&gt;=40,"Medium","Low"))</f>
        <v>Low</v>
      </c>
    </row>
    <row r="318" spans="1:15" x14ac:dyDescent="0.25">
      <c r="A318">
        <v>317</v>
      </c>
      <c r="B318" t="s">
        <v>28</v>
      </c>
      <c r="C318">
        <v>53</v>
      </c>
      <c r="D318" t="s">
        <v>34</v>
      </c>
      <c r="E318">
        <v>8.5</v>
      </c>
      <c r="F318">
        <v>9</v>
      </c>
      <c r="G318">
        <v>30</v>
      </c>
      <c r="H318">
        <v>3</v>
      </c>
      <c r="I318" t="s">
        <v>19</v>
      </c>
      <c r="J318">
        <v>125</v>
      </c>
      <c r="K318">
        <v>80</v>
      </c>
      <c r="L318">
        <v>5000</v>
      </c>
      <c r="M318" t="s">
        <v>17</v>
      </c>
      <c r="N318" t="str">
        <f>IF(Sleep_health_and_lifestyle_dataset3[[#This Row],[Sleep Duration]]&gt;=8,"Good",IF(Sleep_health_and_lifestyle_dataset3[[#This Row],[Sleep Duration]]&gt;=5,"Average","Poor"))</f>
        <v>Good</v>
      </c>
      <c r="O318" t="str">
        <f>IF(Sleep_health_and_lifestyle_dataset3[[#This Row],[Physical Activity Level]]&gt;=60,"High",IF(Sleep_health_and_lifestyle_dataset3[[#This Row],[Physical Activity Level]]&gt;=40,"Medium","Low"))</f>
        <v>Low</v>
      </c>
    </row>
    <row r="319" spans="1:15" x14ac:dyDescent="0.25">
      <c r="A319">
        <v>318</v>
      </c>
      <c r="B319" t="s">
        <v>28</v>
      </c>
      <c r="C319">
        <v>53</v>
      </c>
      <c r="D319" t="s">
        <v>34</v>
      </c>
      <c r="E319">
        <v>8.5</v>
      </c>
      <c r="F319">
        <v>9</v>
      </c>
      <c r="G319">
        <v>30</v>
      </c>
      <c r="H319">
        <v>3</v>
      </c>
      <c r="I319" t="s">
        <v>19</v>
      </c>
      <c r="J319">
        <v>125</v>
      </c>
      <c r="K319">
        <v>80</v>
      </c>
      <c r="L319">
        <v>5000</v>
      </c>
      <c r="M319" t="s">
        <v>17</v>
      </c>
      <c r="N319" t="str">
        <f>IF(Sleep_health_and_lifestyle_dataset3[[#This Row],[Sleep Duration]]&gt;=8,"Good",IF(Sleep_health_and_lifestyle_dataset3[[#This Row],[Sleep Duration]]&gt;=5,"Average","Poor"))</f>
        <v>Good</v>
      </c>
      <c r="O319" t="str">
        <f>IF(Sleep_health_and_lifestyle_dataset3[[#This Row],[Physical Activity Level]]&gt;=60,"High",IF(Sleep_health_and_lifestyle_dataset3[[#This Row],[Physical Activity Level]]&gt;=40,"Medium","Low"))</f>
        <v>Low</v>
      </c>
    </row>
    <row r="320" spans="1:15" x14ac:dyDescent="0.25">
      <c r="A320">
        <v>319</v>
      </c>
      <c r="B320" t="s">
        <v>28</v>
      </c>
      <c r="C320">
        <v>53</v>
      </c>
      <c r="D320" t="s">
        <v>34</v>
      </c>
      <c r="E320">
        <v>8.4</v>
      </c>
      <c r="F320">
        <v>9</v>
      </c>
      <c r="G320">
        <v>30</v>
      </c>
      <c r="H320">
        <v>3</v>
      </c>
      <c r="I320" t="s">
        <v>19</v>
      </c>
      <c r="J320">
        <v>125</v>
      </c>
      <c r="K320">
        <v>80</v>
      </c>
      <c r="L320">
        <v>5000</v>
      </c>
      <c r="M320" t="s">
        <v>17</v>
      </c>
      <c r="N320" t="str">
        <f>IF(Sleep_health_and_lifestyle_dataset3[[#This Row],[Sleep Duration]]&gt;=8,"Good",IF(Sleep_health_and_lifestyle_dataset3[[#This Row],[Sleep Duration]]&gt;=5,"Average","Poor"))</f>
        <v>Good</v>
      </c>
      <c r="O320" t="str">
        <f>IF(Sleep_health_and_lifestyle_dataset3[[#This Row],[Physical Activity Level]]&gt;=60,"High",IF(Sleep_health_and_lifestyle_dataset3[[#This Row],[Physical Activity Level]]&gt;=40,"Medium","Low"))</f>
        <v>Low</v>
      </c>
    </row>
    <row r="321" spans="1:15" x14ac:dyDescent="0.25">
      <c r="A321">
        <v>320</v>
      </c>
      <c r="B321" t="s">
        <v>28</v>
      </c>
      <c r="C321">
        <v>53</v>
      </c>
      <c r="D321" t="s">
        <v>34</v>
      </c>
      <c r="E321">
        <v>8.4</v>
      </c>
      <c r="F321">
        <v>9</v>
      </c>
      <c r="G321">
        <v>30</v>
      </c>
      <c r="H321">
        <v>3</v>
      </c>
      <c r="I321" t="s">
        <v>19</v>
      </c>
      <c r="J321">
        <v>125</v>
      </c>
      <c r="K321">
        <v>80</v>
      </c>
      <c r="L321">
        <v>5000</v>
      </c>
      <c r="M321" t="s">
        <v>17</v>
      </c>
      <c r="N321" t="str">
        <f>IF(Sleep_health_and_lifestyle_dataset3[[#This Row],[Sleep Duration]]&gt;=8,"Good",IF(Sleep_health_and_lifestyle_dataset3[[#This Row],[Sleep Duration]]&gt;=5,"Average","Poor"))</f>
        <v>Good</v>
      </c>
      <c r="O321" t="str">
        <f>IF(Sleep_health_and_lifestyle_dataset3[[#This Row],[Physical Activity Level]]&gt;=60,"High",IF(Sleep_health_and_lifestyle_dataset3[[#This Row],[Physical Activity Level]]&gt;=40,"Medium","Low"))</f>
        <v>Low</v>
      </c>
    </row>
    <row r="322" spans="1:15" x14ac:dyDescent="0.25">
      <c r="A322">
        <v>321</v>
      </c>
      <c r="B322" t="s">
        <v>28</v>
      </c>
      <c r="C322">
        <v>53</v>
      </c>
      <c r="D322" t="s">
        <v>34</v>
      </c>
      <c r="E322">
        <v>8.5</v>
      </c>
      <c r="F322">
        <v>9</v>
      </c>
      <c r="G322">
        <v>30</v>
      </c>
      <c r="H322">
        <v>3</v>
      </c>
      <c r="I322" t="s">
        <v>19</v>
      </c>
      <c r="J322">
        <v>125</v>
      </c>
      <c r="K322">
        <v>80</v>
      </c>
      <c r="L322">
        <v>5000</v>
      </c>
      <c r="M322" t="s">
        <v>17</v>
      </c>
      <c r="N322" t="str">
        <f>IF(Sleep_health_and_lifestyle_dataset3[[#This Row],[Sleep Duration]]&gt;=8,"Good",IF(Sleep_health_and_lifestyle_dataset3[[#This Row],[Sleep Duration]]&gt;=5,"Average","Poor"))</f>
        <v>Good</v>
      </c>
      <c r="O322" t="str">
        <f>IF(Sleep_health_and_lifestyle_dataset3[[#This Row],[Physical Activity Level]]&gt;=60,"High",IF(Sleep_health_and_lifestyle_dataset3[[#This Row],[Physical Activity Level]]&gt;=40,"Medium","Low"))</f>
        <v>Low</v>
      </c>
    </row>
    <row r="323" spans="1:15" x14ac:dyDescent="0.25">
      <c r="A323">
        <v>322</v>
      </c>
      <c r="B323" t="s">
        <v>28</v>
      </c>
      <c r="C323">
        <v>53</v>
      </c>
      <c r="D323" t="s">
        <v>34</v>
      </c>
      <c r="E323">
        <v>8.4</v>
      </c>
      <c r="F323">
        <v>9</v>
      </c>
      <c r="G323">
        <v>30</v>
      </c>
      <c r="H323">
        <v>3</v>
      </c>
      <c r="I323" t="s">
        <v>19</v>
      </c>
      <c r="J323">
        <v>125</v>
      </c>
      <c r="K323">
        <v>80</v>
      </c>
      <c r="L323">
        <v>5000</v>
      </c>
      <c r="M323" t="s">
        <v>17</v>
      </c>
      <c r="N323" t="str">
        <f>IF(Sleep_health_and_lifestyle_dataset3[[#This Row],[Sleep Duration]]&gt;=8,"Good",IF(Sleep_health_and_lifestyle_dataset3[[#This Row],[Sleep Duration]]&gt;=5,"Average","Poor"))</f>
        <v>Good</v>
      </c>
      <c r="O323" t="str">
        <f>IF(Sleep_health_and_lifestyle_dataset3[[#This Row],[Physical Activity Level]]&gt;=60,"High",IF(Sleep_health_and_lifestyle_dataset3[[#This Row],[Physical Activity Level]]&gt;=40,"Medium","Low"))</f>
        <v>Low</v>
      </c>
    </row>
    <row r="324" spans="1:15" x14ac:dyDescent="0.25">
      <c r="A324">
        <v>323</v>
      </c>
      <c r="B324" t="s">
        <v>28</v>
      </c>
      <c r="C324">
        <v>53</v>
      </c>
      <c r="D324" t="s">
        <v>34</v>
      </c>
      <c r="E324">
        <v>8.4</v>
      </c>
      <c r="F324">
        <v>9</v>
      </c>
      <c r="G324">
        <v>30</v>
      </c>
      <c r="H324">
        <v>3</v>
      </c>
      <c r="I324" t="s">
        <v>19</v>
      </c>
      <c r="J324">
        <v>125</v>
      </c>
      <c r="K324">
        <v>80</v>
      </c>
      <c r="L324">
        <v>5000</v>
      </c>
      <c r="M324" t="s">
        <v>17</v>
      </c>
      <c r="N324" t="str">
        <f>IF(Sleep_health_and_lifestyle_dataset3[[#This Row],[Sleep Duration]]&gt;=8,"Good",IF(Sleep_health_and_lifestyle_dataset3[[#This Row],[Sleep Duration]]&gt;=5,"Average","Poor"))</f>
        <v>Good</v>
      </c>
      <c r="O324" t="str">
        <f>IF(Sleep_health_and_lifestyle_dataset3[[#This Row],[Physical Activity Level]]&gt;=60,"High",IF(Sleep_health_and_lifestyle_dataset3[[#This Row],[Physical Activity Level]]&gt;=40,"Medium","Low"))</f>
        <v>Low</v>
      </c>
    </row>
    <row r="325" spans="1:15" x14ac:dyDescent="0.25">
      <c r="A325">
        <v>324</v>
      </c>
      <c r="B325" t="s">
        <v>28</v>
      </c>
      <c r="C325">
        <v>53</v>
      </c>
      <c r="D325" t="s">
        <v>34</v>
      </c>
      <c r="E325">
        <v>8.5</v>
      </c>
      <c r="F325">
        <v>9</v>
      </c>
      <c r="G325">
        <v>30</v>
      </c>
      <c r="H325">
        <v>3</v>
      </c>
      <c r="I325" t="s">
        <v>19</v>
      </c>
      <c r="J325">
        <v>125</v>
      </c>
      <c r="K325">
        <v>80</v>
      </c>
      <c r="L325">
        <v>5000</v>
      </c>
      <c r="M325" t="s">
        <v>17</v>
      </c>
      <c r="N325" t="str">
        <f>IF(Sleep_health_and_lifestyle_dataset3[[#This Row],[Sleep Duration]]&gt;=8,"Good",IF(Sleep_health_and_lifestyle_dataset3[[#This Row],[Sleep Duration]]&gt;=5,"Average","Poor"))</f>
        <v>Good</v>
      </c>
      <c r="O325" t="str">
        <f>IF(Sleep_health_and_lifestyle_dataset3[[#This Row],[Physical Activity Level]]&gt;=60,"High",IF(Sleep_health_and_lifestyle_dataset3[[#This Row],[Physical Activity Level]]&gt;=40,"Medium","Low"))</f>
        <v>Low</v>
      </c>
    </row>
    <row r="326" spans="1:15" x14ac:dyDescent="0.25">
      <c r="A326">
        <v>325</v>
      </c>
      <c r="B326" t="s">
        <v>28</v>
      </c>
      <c r="C326">
        <v>53</v>
      </c>
      <c r="D326" t="s">
        <v>34</v>
      </c>
      <c r="E326">
        <v>8.3000000000000007</v>
      </c>
      <c r="F326">
        <v>9</v>
      </c>
      <c r="G326">
        <v>30</v>
      </c>
      <c r="H326">
        <v>3</v>
      </c>
      <c r="I326" t="s">
        <v>19</v>
      </c>
      <c r="J326">
        <v>125</v>
      </c>
      <c r="K326">
        <v>80</v>
      </c>
      <c r="L326">
        <v>5000</v>
      </c>
      <c r="M326" t="s">
        <v>17</v>
      </c>
      <c r="N326" t="str">
        <f>IF(Sleep_health_and_lifestyle_dataset3[[#This Row],[Sleep Duration]]&gt;=8,"Good",IF(Sleep_health_and_lifestyle_dataset3[[#This Row],[Sleep Duration]]&gt;=5,"Average","Poor"))</f>
        <v>Good</v>
      </c>
      <c r="O326" t="str">
        <f>IF(Sleep_health_and_lifestyle_dataset3[[#This Row],[Physical Activity Level]]&gt;=60,"High",IF(Sleep_health_and_lifestyle_dataset3[[#This Row],[Physical Activity Level]]&gt;=40,"Medium","Low"))</f>
        <v>Low</v>
      </c>
    </row>
    <row r="327" spans="1:15" x14ac:dyDescent="0.25">
      <c r="A327">
        <v>326</v>
      </c>
      <c r="B327" t="s">
        <v>28</v>
      </c>
      <c r="C327">
        <v>53</v>
      </c>
      <c r="D327" t="s">
        <v>34</v>
      </c>
      <c r="E327">
        <v>8.5</v>
      </c>
      <c r="F327">
        <v>9</v>
      </c>
      <c r="G327">
        <v>30</v>
      </c>
      <c r="H327">
        <v>3</v>
      </c>
      <c r="I327" t="s">
        <v>19</v>
      </c>
      <c r="J327">
        <v>125</v>
      </c>
      <c r="K327">
        <v>80</v>
      </c>
      <c r="L327">
        <v>5000</v>
      </c>
      <c r="M327" t="s">
        <v>17</v>
      </c>
      <c r="N327" t="str">
        <f>IF(Sleep_health_and_lifestyle_dataset3[[#This Row],[Sleep Duration]]&gt;=8,"Good",IF(Sleep_health_and_lifestyle_dataset3[[#This Row],[Sleep Duration]]&gt;=5,"Average","Poor"))</f>
        <v>Good</v>
      </c>
      <c r="O327" t="str">
        <f>IF(Sleep_health_and_lifestyle_dataset3[[#This Row],[Physical Activity Level]]&gt;=60,"High",IF(Sleep_health_and_lifestyle_dataset3[[#This Row],[Physical Activity Level]]&gt;=40,"Medium","Low"))</f>
        <v>Low</v>
      </c>
    </row>
    <row r="328" spans="1:15" x14ac:dyDescent="0.25">
      <c r="A328">
        <v>327</v>
      </c>
      <c r="B328" t="s">
        <v>28</v>
      </c>
      <c r="C328">
        <v>53</v>
      </c>
      <c r="D328" t="s">
        <v>34</v>
      </c>
      <c r="E328">
        <v>8.3000000000000007</v>
      </c>
      <c r="F328">
        <v>9</v>
      </c>
      <c r="G328">
        <v>30</v>
      </c>
      <c r="H328">
        <v>3</v>
      </c>
      <c r="I328" t="s">
        <v>19</v>
      </c>
      <c r="J328">
        <v>125</v>
      </c>
      <c r="K328">
        <v>80</v>
      </c>
      <c r="L328">
        <v>5000</v>
      </c>
      <c r="M328" t="s">
        <v>17</v>
      </c>
      <c r="N328" t="str">
        <f>IF(Sleep_health_and_lifestyle_dataset3[[#This Row],[Sleep Duration]]&gt;=8,"Good",IF(Sleep_health_and_lifestyle_dataset3[[#This Row],[Sleep Duration]]&gt;=5,"Average","Poor"))</f>
        <v>Good</v>
      </c>
      <c r="O328" t="str">
        <f>IF(Sleep_health_and_lifestyle_dataset3[[#This Row],[Physical Activity Level]]&gt;=60,"High",IF(Sleep_health_and_lifestyle_dataset3[[#This Row],[Physical Activity Level]]&gt;=40,"Medium","Low"))</f>
        <v>Low</v>
      </c>
    </row>
    <row r="329" spans="1:15" x14ac:dyDescent="0.25">
      <c r="A329">
        <v>328</v>
      </c>
      <c r="B329" t="s">
        <v>28</v>
      </c>
      <c r="C329">
        <v>53</v>
      </c>
      <c r="D329" t="s">
        <v>34</v>
      </c>
      <c r="E329">
        <v>8.5</v>
      </c>
      <c r="F329">
        <v>9</v>
      </c>
      <c r="G329">
        <v>30</v>
      </c>
      <c r="H329">
        <v>3</v>
      </c>
      <c r="I329" t="s">
        <v>19</v>
      </c>
      <c r="J329">
        <v>125</v>
      </c>
      <c r="K329">
        <v>80</v>
      </c>
      <c r="L329">
        <v>5000</v>
      </c>
      <c r="M329" t="s">
        <v>17</v>
      </c>
      <c r="N329" t="str">
        <f>IF(Sleep_health_and_lifestyle_dataset3[[#This Row],[Sleep Duration]]&gt;=8,"Good",IF(Sleep_health_and_lifestyle_dataset3[[#This Row],[Sleep Duration]]&gt;=5,"Average","Poor"))</f>
        <v>Good</v>
      </c>
      <c r="O329" t="str">
        <f>IF(Sleep_health_and_lifestyle_dataset3[[#This Row],[Physical Activity Level]]&gt;=60,"High",IF(Sleep_health_and_lifestyle_dataset3[[#This Row],[Physical Activity Level]]&gt;=40,"Medium","Low"))</f>
        <v>Low</v>
      </c>
    </row>
    <row r="330" spans="1:15" x14ac:dyDescent="0.25">
      <c r="A330">
        <v>329</v>
      </c>
      <c r="B330" t="s">
        <v>28</v>
      </c>
      <c r="C330">
        <v>53</v>
      </c>
      <c r="D330" t="s">
        <v>34</v>
      </c>
      <c r="E330">
        <v>8.3000000000000007</v>
      </c>
      <c r="F330">
        <v>9</v>
      </c>
      <c r="G330">
        <v>30</v>
      </c>
      <c r="H330">
        <v>3</v>
      </c>
      <c r="I330" t="s">
        <v>19</v>
      </c>
      <c r="J330">
        <v>125</v>
      </c>
      <c r="K330">
        <v>80</v>
      </c>
      <c r="L330">
        <v>5000</v>
      </c>
      <c r="M330" t="s">
        <v>17</v>
      </c>
      <c r="N330" t="str">
        <f>IF(Sleep_health_and_lifestyle_dataset3[[#This Row],[Sleep Duration]]&gt;=8,"Good",IF(Sleep_health_and_lifestyle_dataset3[[#This Row],[Sleep Duration]]&gt;=5,"Average","Poor"))</f>
        <v>Good</v>
      </c>
      <c r="O330" t="str">
        <f>IF(Sleep_health_and_lifestyle_dataset3[[#This Row],[Physical Activity Level]]&gt;=60,"High",IF(Sleep_health_and_lifestyle_dataset3[[#This Row],[Physical Activity Level]]&gt;=40,"Medium","Low"))</f>
        <v>Low</v>
      </c>
    </row>
    <row r="331" spans="1:15" x14ac:dyDescent="0.25">
      <c r="A331">
        <v>330</v>
      </c>
      <c r="B331" t="s">
        <v>28</v>
      </c>
      <c r="C331">
        <v>53</v>
      </c>
      <c r="D331" t="s">
        <v>34</v>
      </c>
      <c r="E331">
        <v>8.5</v>
      </c>
      <c r="F331">
        <v>9</v>
      </c>
      <c r="G331">
        <v>30</v>
      </c>
      <c r="H331">
        <v>3</v>
      </c>
      <c r="I331" t="s">
        <v>19</v>
      </c>
      <c r="J331">
        <v>125</v>
      </c>
      <c r="K331">
        <v>80</v>
      </c>
      <c r="L331">
        <v>5000</v>
      </c>
      <c r="M331" t="s">
        <v>17</v>
      </c>
      <c r="N331" t="str">
        <f>IF(Sleep_health_and_lifestyle_dataset3[[#This Row],[Sleep Duration]]&gt;=8,"Good",IF(Sleep_health_and_lifestyle_dataset3[[#This Row],[Sleep Duration]]&gt;=5,"Average","Poor"))</f>
        <v>Good</v>
      </c>
      <c r="O331" t="str">
        <f>IF(Sleep_health_and_lifestyle_dataset3[[#This Row],[Physical Activity Level]]&gt;=60,"High",IF(Sleep_health_and_lifestyle_dataset3[[#This Row],[Physical Activity Level]]&gt;=40,"Medium","Low"))</f>
        <v>Low</v>
      </c>
    </row>
    <row r="332" spans="1:15" x14ac:dyDescent="0.25">
      <c r="A332">
        <v>331</v>
      </c>
      <c r="B332" t="s">
        <v>28</v>
      </c>
      <c r="C332">
        <v>53</v>
      </c>
      <c r="D332" t="s">
        <v>34</v>
      </c>
      <c r="E332">
        <v>8.5</v>
      </c>
      <c r="F332">
        <v>9</v>
      </c>
      <c r="G332">
        <v>30</v>
      </c>
      <c r="H332">
        <v>3</v>
      </c>
      <c r="I332" t="s">
        <v>19</v>
      </c>
      <c r="J332">
        <v>125</v>
      </c>
      <c r="K332">
        <v>80</v>
      </c>
      <c r="L332">
        <v>5000</v>
      </c>
      <c r="M332" t="s">
        <v>17</v>
      </c>
      <c r="N332" t="str">
        <f>IF(Sleep_health_and_lifestyle_dataset3[[#This Row],[Sleep Duration]]&gt;=8,"Good",IF(Sleep_health_and_lifestyle_dataset3[[#This Row],[Sleep Duration]]&gt;=5,"Average","Poor"))</f>
        <v>Good</v>
      </c>
      <c r="O332" t="str">
        <f>IF(Sleep_health_and_lifestyle_dataset3[[#This Row],[Physical Activity Level]]&gt;=60,"High",IF(Sleep_health_and_lifestyle_dataset3[[#This Row],[Physical Activity Level]]&gt;=40,"Medium","Low"))</f>
        <v>Low</v>
      </c>
    </row>
    <row r="333" spans="1:15" x14ac:dyDescent="0.25">
      <c r="A333">
        <v>332</v>
      </c>
      <c r="B333" t="s">
        <v>28</v>
      </c>
      <c r="C333">
        <v>53</v>
      </c>
      <c r="D333" t="s">
        <v>34</v>
      </c>
      <c r="E333">
        <v>8.4</v>
      </c>
      <c r="F333">
        <v>9</v>
      </c>
      <c r="G333">
        <v>30</v>
      </c>
      <c r="H333">
        <v>3</v>
      </c>
      <c r="I333" t="s">
        <v>19</v>
      </c>
      <c r="J333">
        <v>125</v>
      </c>
      <c r="K333">
        <v>80</v>
      </c>
      <c r="L333">
        <v>5000</v>
      </c>
      <c r="M333" t="s">
        <v>17</v>
      </c>
      <c r="N333" t="str">
        <f>IF(Sleep_health_and_lifestyle_dataset3[[#This Row],[Sleep Duration]]&gt;=8,"Good",IF(Sleep_health_and_lifestyle_dataset3[[#This Row],[Sleep Duration]]&gt;=5,"Average","Poor"))</f>
        <v>Good</v>
      </c>
      <c r="O333" t="str">
        <f>IF(Sleep_health_and_lifestyle_dataset3[[#This Row],[Physical Activity Level]]&gt;=60,"High",IF(Sleep_health_and_lifestyle_dataset3[[#This Row],[Physical Activity Level]]&gt;=40,"Medium","Low"))</f>
        <v>Low</v>
      </c>
    </row>
    <row r="334" spans="1:15" x14ac:dyDescent="0.25">
      <c r="A334">
        <v>333</v>
      </c>
      <c r="B334" t="s">
        <v>28</v>
      </c>
      <c r="C334">
        <v>54</v>
      </c>
      <c r="D334" t="s">
        <v>34</v>
      </c>
      <c r="E334">
        <v>8.4</v>
      </c>
      <c r="F334">
        <v>9</v>
      </c>
      <c r="G334">
        <v>30</v>
      </c>
      <c r="H334">
        <v>3</v>
      </c>
      <c r="I334" t="s">
        <v>19</v>
      </c>
      <c r="J334">
        <v>125</v>
      </c>
      <c r="K334">
        <v>80</v>
      </c>
      <c r="L334">
        <v>5000</v>
      </c>
      <c r="M334" t="s">
        <v>17</v>
      </c>
      <c r="N334" t="str">
        <f>IF(Sleep_health_and_lifestyle_dataset3[[#This Row],[Sleep Duration]]&gt;=8,"Good",IF(Sleep_health_and_lifestyle_dataset3[[#This Row],[Sleep Duration]]&gt;=5,"Average","Poor"))</f>
        <v>Good</v>
      </c>
      <c r="O334" t="str">
        <f>IF(Sleep_health_and_lifestyle_dataset3[[#This Row],[Physical Activity Level]]&gt;=60,"High",IF(Sleep_health_and_lifestyle_dataset3[[#This Row],[Physical Activity Level]]&gt;=40,"Medium","Low"))</f>
        <v>Low</v>
      </c>
    </row>
    <row r="335" spans="1:15" x14ac:dyDescent="0.25">
      <c r="A335">
        <v>334</v>
      </c>
      <c r="B335" t="s">
        <v>28</v>
      </c>
      <c r="C335">
        <v>54</v>
      </c>
      <c r="D335" t="s">
        <v>34</v>
      </c>
      <c r="E335">
        <v>8.4</v>
      </c>
      <c r="F335">
        <v>9</v>
      </c>
      <c r="G335">
        <v>30</v>
      </c>
      <c r="H335">
        <v>3</v>
      </c>
      <c r="I335" t="s">
        <v>19</v>
      </c>
      <c r="J335">
        <v>125</v>
      </c>
      <c r="K335">
        <v>80</v>
      </c>
      <c r="L335">
        <v>5000</v>
      </c>
      <c r="M335" t="s">
        <v>17</v>
      </c>
      <c r="N335" t="str">
        <f>IF(Sleep_health_and_lifestyle_dataset3[[#This Row],[Sleep Duration]]&gt;=8,"Good",IF(Sleep_health_and_lifestyle_dataset3[[#This Row],[Sleep Duration]]&gt;=5,"Average","Poor"))</f>
        <v>Good</v>
      </c>
      <c r="O335" t="str">
        <f>IF(Sleep_health_and_lifestyle_dataset3[[#This Row],[Physical Activity Level]]&gt;=60,"High",IF(Sleep_health_and_lifestyle_dataset3[[#This Row],[Physical Activity Level]]&gt;=40,"Medium","Low"))</f>
        <v>Low</v>
      </c>
    </row>
    <row r="336" spans="1:15" x14ac:dyDescent="0.25">
      <c r="A336">
        <v>335</v>
      </c>
      <c r="B336" t="s">
        <v>28</v>
      </c>
      <c r="C336">
        <v>54</v>
      </c>
      <c r="D336" t="s">
        <v>34</v>
      </c>
      <c r="E336">
        <v>8.4</v>
      </c>
      <c r="F336">
        <v>9</v>
      </c>
      <c r="G336">
        <v>30</v>
      </c>
      <c r="H336">
        <v>3</v>
      </c>
      <c r="I336" t="s">
        <v>19</v>
      </c>
      <c r="J336">
        <v>125</v>
      </c>
      <c r="K336">
        <v>80</v>
      </c>
      <c r="L336">
        <v>5000</v>
      </c>
      <c r="M336" t="s">
        <v>17</v>
      </c>
      <c r="N336" t="str">
        <f>IF(Sleep_health_and_lifestyle_dataset3[[#This Row],[Sleep Duration]]&gt;=8,"Good",IF(Sleep_health_and_lifestyle_dataset3[[#This Row],[Sleep Duration]]&gt;=5,"Average","Poor"))</f>
        <v>Good</v>
      </c>
      <c r="O336" t="str">
        <f>IF(Sleep_health_and_lifestyle_dataset3[[#This Row],[Physical Activity Level]]&gt;=60,"High",IF(Sleep_health_and_lifestyle_dataset3[[#This Row],[Physical Activity Level]]&gt;=40,"Medium","Low"))</f>
        <v>Low</v>
      </c>
    </row>
    <row r="337" spans="1:15" x14ac:dyDescent="0.25">
      <c r="A337">
        <v>336</v>
      </c>
      <c r="B337" t="s">
        <v>28</v>
      </c>
      <c r="C337">
        <v>54</v>
      </c>
      <c r="D337" t="s">
        <v>34</v>
      </c>
      <c r="E337">
        <v>8.4</v>
      </c>
      <c r="F337">
        <v>9</v>
      </c>
      <c r="G337">
        <v>30</v>
      </c>
      <c r="H337">
        <v>3</v>
      </c>
      <c r="I337" t="s">
        <v>19</v>
      </c>
      <c r="J337">
        <v>125</v>
      </c>
      <c r="K337">
        <v>80</v>
      </c>
      <c r="L337">
        <v>5000</v>
      </c>
      <c r="M337" t="s">
        <v>17</v>
      </c>
      <c r="N337" t="str">
        <f>IF(Sleep_health_and_lifestyle_dataset3[[#This Row],[Sleep Duration]]&gt;=8,"Good",IF(Sleep_health_and_lifestyle_dataset3[[#This Row],[Sleep Duration]]&gt;=5,"Average","Poor"))</f>
        <v>Good</v>
      </c>
      <c r="O337" t="str">
        <f>IF(Sleep_health_and_lifestyle_dataset3[[#This Row],[Physical Activity Level]]&gt;=60,"High",IF(Sleep_health_and_lifestyle_dataset3[[#This Row],[Physical Activity Level]]&gt;=40,"Medium","Low"))</f>
        <v>Low</v>
      </c>
    </row>
    <row r="338" spans="1:15" x14ac:dyDescent="0.25">
      <c r="A338">
        <v>337</v>
      </c>
      <c r="B338" t="s">
        <v>28</v>
      </c>
      <c r="C338">
        <v>54</v>
      </c>
      <c r="D338" t="s">
        <v>34</v>
      </c>
      <c r="E338">
        <v>8.4</v>
      </c>
      <c r="F338">
        <v>9</v>
      </c>
      <c r="G338">
        <v>30</v>
      </c>
      <c r="H338">
        <v>3</v>
      </c>
      <c r="I338" t="s">
        <v>19</v>
      </c>
      <c r="J338">
        <v>125</v>
      </c>
      <c r="K338">
        <v>80</v>
      </c>
      <c r="L338">
        <v>5000</v>
      </c>
      <c r="M338" t="s">
        <v>17</v>
      </c>
      <c r="N338" t="str">
        <f>IF(Sleep_health_and_lifestyle_dataset3[[#This Row],[Sleep Duration]]&gt;=8,"Good",IF(Sleep_health_and_lifestyle_dataset3[[#This Row],[Sleep Duration]]&gt;=5,"Average","Poor"))</f>
        <v>Good</v>
      </c>
      <c r="O338" t="str">
        <f>IF(Sleep_health_and_lifestyle_dataset3[[#This Row],[Physical Activity Level]]&gt;=60,"High",IF(Sleep_health_and_lifestyle_dataset3[[#This Row],[Physical Activity Level]]&gt;=40,"Medium","Low"))</f>
        <v>Low</v>
      </c>
    </row>
    <row r="339" spans="1:15" x14ac:dyDescent="0.25">
      <c r="A339">
        <v>338</v>
      </c>
      <c r="B339" t="s">
        <v>28</v>
      </c>
      <c r="C339">
        <v>54</v>
      </c>
      <c r="D339" t="s">
        <v>34</v>
      </c>
      <c r="E339">
        <v>8.4</v>
      </c>
      <c r="F339">
        <v>9</v>
      </c>
      <c r="G339">
        <v>30</v>
      </c>
      <c r="H339">
        <v>3</v>
      </c>
      <c r="I339" t="s">
        <v>19</v>
      </c>
      <c r="J339">
        <v>125</v>
      </c>
      <c r="K339">
        <v>80</v>
      </c>
      <c r="L339">
        <v>5000</v>
      </c>
      <c r="M339" t="s">
        <v>17</v>
      </c>
      <c r="N339" t="str">
        <f>IF(Sleep_health_and_lifestyle_dataset3[[#This Row],[Sleep Duration]]&gt;=8,"Good",IF(Sleep_health_and_lifestyle_dataset3[[#This Row],[Sleep Duration]]&gt;=5,"Average","Poor"))</f>
        <v>Good</v>
      </c>
      <c r="O339" t="str">
        <f>IF(Sleep_health_and_lifestyle_dataset3[[#This Row],[Physical Activity Level]]&gt;=60,"High",IF(Sleep_health_and_lifestyle_dataset3[[#This Row],[Physical Activity Level]]&gt;=40,"Medium","Low"))</f>
        <v>Low</v>
      </c>
    </row>
    <row r="340" spans="1:15" x14ac:dyDescent="0.25">
      <c r="A340">
        <v>339</v>
      </c>
      <c r="B340" t="s">
        <v>28</v>
      </c>
      <c r="C340">
        <v>54</v>
      </c>
      <c r="D340" t="s">
        <v>34</v>
      </c>
      <c r="E340">
        <v>8.5</v>
      </c>
      <c r="F340">
        <v>9</v>
      </c>
      <c r="G340">
        <v>30</v>
      </c>
      <c r="H340">
        <v>3</v>
      </c>
      <c r="I340" t="s">
        <v>19</v>
      </c>
      <c r="J340">
        <v>125</v>
      </c>
      <c r="K340">
        <v>80</v>
      </c>
      <c r="L340">
        <v>5000</v>
      </c>
      <c r="M340" t="s">
        <v>17</v>
      </c>
      <c r="N340" t="str">
        <f>IF(Sleep_health_and_lifestyle_dataset3[[#This Row],[Sleep Duration]]&gt;=8,"Good",IF(Sleep_health_and_lifestyle_dataset3[[#This Row],[Sleep Duration]]&gt;=5,"Average","Poor"))</f>
        <v>Good</v>
      </c>
      <c r="O340" t="str">
        <f>IF(Sleep_health_and_lifestyle_dataset3[[#This Row],[Physical Activity Level]]&gt;=60,"High",IF(Sleep_health_and_lifestyle_dataset3[[#This Row],[Physical Activity Level]]&gt;=40,"Medium","Low"))</f>
        <v>Low</v>
      </c>
    </row>
    <row r="341" spans="1:15" x14ac:dyDescent="0.25">
      <c r="A341">
        <v>340</v>
      </c>
      <c r="B341" t="s">
        <v>28</v>
      </c>
      <c r="C341">
        <v>55</v>
      </c>
      <c r="D341" t="s">
        <v>29</v>
      </c>
      <c r="E341">
        <v>8.1</v>
      </c>
      <c r="F341">
        <v>9</v>
      </c>
      <c r="G341">
        <v>75</v>
      </c>
      <c r="H341">
        <v>4</v>
      </c>
      <c r="I341" t="s">
        <v>15</v>
      </c>
      <c r="J341">
        <v>140</v>
      </c>
      <c r="K341">
        <v>95</v>
      </c>
      <c r="L341">
        <v>5000</v>
      </c>
      <c r="M341" t="s">
        <v>24</v>
      </c>
      <c r="N341" t="str">
        <f>IF(Sleep_health_and_lifestyle_dataset3[[#This Row],[Sleep Duration]]&gt;=8,"Good",IF(Sleep_health_and_lifestyle_dataset3[[#This Row],[Sleep Duration]]&gt;=5,"Average","Poor"))</f>
        <v>Good</v>
      </c>
      <c r="O341" t="str">
        <f>IF(Sleep_health_and_lifestyle_dataset3[[#This Row],[Physical Activity Level]]&gt;=60,"High",IF(Sleep_health_and_lifestyle_dataset3[[#This Row],[Physical Activity Level]]&gt;=40,"Medium","Low"))</f>
        <v>High</v>
      </c>
    </row>
    <row r="342" spans="1:15" x14ac:dyDescent="0.25">
      <c r="A342">
        <v>341</v>
      </c>
      <c r="B342" t="s">
        <v>28</v>
      </c>
      <c r="C342">
        <v>55</v>
      </c>
      <c r="D342" t="s">
        <v>29</v>
      </c>
      <c r="E342">
        <v>8.1</v>
      </c>
      <c r="F342">
        <v>9</v>
      </c>
      <c r="G342">
        <v>75</v>
      </c>
      <c r="H342">
        <v>4</v>
      </c>
      <c r="I342" t="s">
        <v>15</v>
      </c>
      <c r="J342">
        <v>140</v>
      </c>
      <c r="K342">
        <v>95</v>
      </c>
      <c r="L342">
        <v>5000</v>
      </c>
      <c r="M342" t="s">
        <v>24</v>
      </c>
      <c r="N342" t="str">
        <f>IF(Sleep_health_and_lifestyle_dataset3[[#This Row],[Sleep Duration]]&gt;=8,"Good",IF(Sleep_health_and_lifestyle_dataset3[[#This Row],[Sleep Duration]]&gt;=5,"Average","Poor"))</f>
        <v>Good</v>
      </c>
      <c r="O342" t="str">
        <f>IF(Sleep_health_and_lifestyle_dataset3[[#This Row],[Physical Activity Level]]&gt;=60,"High",IF(Sleep_health_and_lifestyle_dataset3[[#This Row],[Physical Activity Level]]&gt;=40,"Medium","Low"))</f>
        <v>High</v>
      </c>
    </row>
    <row r="343" spans="1:15" x14ac:dyDescent="0.25">
      <c r="A343">
        <v>342</v>
      </c>
      <c r="B343" t="s">
        <v>28</v>
      </c>
      <c r="C343">
        <v>56</v>
      </c>
      <c r="D343" t="s">
        <v>18</v>
      </c>
      <c r="E343">
        <v>8.1999999999999993</v>
      </c>
      <c r="F343">
        <v>9</v>
      </c>
      <c r="G343">
        <v>90</v>
      </c>
      <c r="H343">
        <v>3</v>
      </c>
      <c r="I343" t="s">
        <v>30</v>
      </c>
      <c r="J343">
        <v>118</v>
      </c>
      <c r="K343">
        <v>75</v>
      </c>
      <c r="L343">
        <v>10000</v>
      </c>
      <c r="M343" t="s">
        <v>17</v>
      </c>
      <c r="N343" t="str">
        <f>IF(Sleep_health_and_lifestyle_dataset3[[#This Row],[Sleep Duration]]&gt;=8,"Good",IF(Sleep_health_and_lifestyle_dataset3[[#This Row],[Sleep Duration]]&gt;=5,"Average","Poor"))</f>
        <v>Good</v>
      </c>
      <c r="O343" t="str">
        <f>IF(Sleep_health_and_lifestyle_dataset3[[#This Row],[Physical Activity Level]]&gt;=60,"High",IF(Sleep_health_and_lifestyle_dataset3[[#This Row],[Physical Activity Level]]&gt;=40,"Medium","Low"))</f>
        <v>High</v>
      </c>
    </row>
    <row r="344" spans="1:15" x14ac:dyDescent="0.25">
      <c r="A344">
        <v>343</v>
      </c>
      <c r="B344" t="s">
        <v>28</v>
      </c>
      <c r="C344">
        <v>56</v>
      </c>
      <c r="D344" t="s">
        <v>18</v>
      </c>
      <c r="E344">
        <v>8.1999999999999993</v>
      </c>
      <c r="F344">
        <v>9</v>
      </c>
      <c r="G344">
        <v>90</v>
      </c>
      <c r="H344">
        <v>3</v>
      </c>
      <c r="I344" t="s">
        <v>30</v>
      </c>
      <c r="J344">
        <v>118</v>
      </c>
      <c r="K344">
        <v>75</v>
      </c>
      <c r="L344">
        <v>10000</v>
      </c>
      <c r="M344" t="s">
        <v>17</v>
      </c>
      <c r="N344" t="str">
        <f>IF(Sleep_health_and_lifestyle_dataset3[[#This Row],[Sleep Duration]]&gt;=8,"Good",IF(Sleep_health_and_lifestyle_dataset3[[#This Row],[Sleep Duration]]&gt;=5,"Average","Poor"))</f>
        <v>Good</v>
      </c>
      <c r="O344" t="str">
        <f>IF(Sleep_health_and_lifestyle_dataset3[[#This Row],[Physical Activity Level]]&gt;=60,"High",IF(Sleep_health_and_lifestyle_dataset3[[#This Row],[Physical Activity Level]]&gt;=40,"Medium","Low"))</f>
        <v>High</v>
      </c>
    </row>
    <row r="345" spans="1:15" x14ac:dyDescent="0.25">
      <c r="A345">
        <v>344</v>
      </c>
      <c r="B345" t="s">
        <v>28</v>
      </c>
      <c r="C345">
        <v>57</v>
      </c>
      <c r="D345" t="s">
        <v>29</v>
      </c>
      <c r="E345">
        <v>8.1</v>
      </c>
      <c r="F345">
        <v>9</v>
      </c>
      <c r="G345">
        <v>75</v>
      </c>
      <c r="H345">
        <v>3</v>
      </c>
      <c r="I345" t="s">
        <v>15</v>
      </c>
      <c r="J345">
        <v>140</v>
      </c>
      <c r="K345">
        <v>95</v>
      </c>
      <c r="L345">
        <v>7000</v>
      </c>
      <c r="M345" t="s">
        <v>17</v>
      </c>
      <c r="N345" t="str">
        <f>IF(Sleep_health_and_lifestyle_dataset3[[#This Row],[Sleep Duration]]&gt;=8,"Good",IF(Sleep_health_and_lifestyle_dataset3[[#This Row],[Sleep Duration]]&gt;=5,"Average","Poor"))</f>
        <v>Good</v>
      </c>
      <c r="O345" t="str">
        <f>IF(Sleep_health_and_lifestyle_dataset3[[#This Row],[Physical Activity Level]]&gt;=60,"High",IF(Sleep_health_and_lifestyle_dataset3[[#This Row],[Physical Activity Level]]&gt;=40,"Medium","Low"))</f>
        <v>High</v>
      </c>
    </row>
    <row r="346" spans="1:15" x14ac:dyDescent="0.25">
      <c r="A346">
        <v>345</v>
      </c>
      <c r="B346" t="s">
        <v>28</v>
      </c>
      <c r="C346">
        <v>57</v>
      </c>
      <c r="D346" t="s">
        <v>29</v>
      </c>
      <c r="E346">
        <v>8.1999999999999993</v>
      </c>
      <c r="F346">
        <v>9</v>
      </c>
      <c r="G346">
        <v>75</v>
      </c>
      <c r="H346">
        <v>3</v>
      </c>
      <c r="I346" t="s">
        <v>15</v>
      </c>
      <c r="J346">
        <v>140</v>
      </c>
      <c r="K346">
        <v>95</v>
      </c>
      <c r="L346">
        <v>7000</v>
      </c>
      <c r="M346" t="s">
        <v>24</v>
      </c>
      <c r="N346" t="str">
        <f>IF(Sleep_health_and_lifestyle_dataset3[[#This Row],[Sleep Duration]]&gt;=8,"Good",IF(Sleep_health_and_lifestyle_dataset3[[#This Row],[Sleep Duration]]&gt;=5,"Average","Poor"))</f>
        <v>Good</v>
      </c>
      <c r="O346" t="str">
        <f>IF(Sleep_health_and_lifestyle_dataset3[[#This Row],[Physical Activity Level]]&gt;=60,"High",IF(Sleep_health_and_lifestyle_dataset3[[#This Row],[Physical Activity Level]]&gt;=40,"Medium","Low"))</f>
        <v>High</v>
      </c>
    </row>
    <row r="347" spans="1:15" x14ac:dyDescent="0.25">
      <c r="A347">
        <v>346</v>
      </c>
      <c r="B347" t="s">
        <v>28</v>
      </c>
      <c r="C347">
        <v>57</v>
      </c>
      <c r="D347" t="s">
        <v>29</v>
      </c>
      <c r="E347">
        <v>8.1999999999999993</v>
      </c>
      <c r="F347">
        <v>9</v>
      </c>
      <c r="G347">
        <v>75</v>
      </c>
      <c r="H347">
        <v>3</v>
      </c>
      <c r="I347" t="s">
        <v>15</v>
      </c>
      <c r="J347">
        <v>140</v>
      </c>
      <c r="K347">
        <v>95</v>
      </c>
      <c r="L347">
        <v>7000</v>
      </c>
      <c r="M347" t="s">
        <v>24</v>
      </c>
      <c r="N347" t="str">
        <f>IF(Sleep_health_and_lifestyle_dataset3[[#This Row],[Sleep Duration]]&gt;=8,"Good",IF(Sleep_health_and_lifestyle_dataset3[[#This Row],[Sleep Duration]]&gt;=5,"Average","Poor"))</f>
        <v>Good</v>
      </c>
      <c r="O347" t="str">
        <f>IF(Sleep_health_and_lifestyle_dataset3[[#This Row],[Physical Activity Level]]&gt;=60,"High",IF(Sleep_health_and_lifestyle_dataset3[[#This Row],[Physical Activity Level]]&gt;=40,"Medium","Low"))</f>
        <v>High</v>
      </c>
    </row>
    <row r="348" spans="1:15" x14ac:dyDescent="0.25">
      <c r="A348">
        <v>347</v>
      </c>
      <c r="B348" t="s">
        <v>28</v>
      </c>
      <c r="C348">
        <v>57</v>
      </c>
      <c r="D348" t="s">
        <v>29</v>
      </c>
      <c r="E348">
        <v>8.1999999999999993</v>
      </c>
      <c r="F348">
        <v>9</v>
      </c>
      <c r="G348">
        <v>75</v>
      </c>
      <c r="H348">
        <v>3</v>
      </c>
      <c r="I348" t="s">
        <v>15</v>
      </c>
      <c r="J348">
        <v>140</v>
      </c>
      <c r="K348">
        <v>95</v>
      </c>
      <c r="L348">
        <v>7000</v>
      </c>
      <c r="M348" t="s">
        <v>24</v>
      </c>
      <c r="N348" t="str">
        <f>IF(Sleep_health_and_lifestyle_dataset3[[#This Row],[Sleep Duration]]&gt;=8,"Good",IF(Sleep_health_and_lifestyle_dataset3[[#This Row],[Sleep Duration]]&gt;=5,"Average","Poor"))</f>
        <v>Good</v>
      </c>
      <c r="O348" t="str">
        <f>IF(Sleep_health_and_lifestyle_dataset3[[#This Row],[Physical Activity Level]]&gt;=60,"High",IF(Sleep_health_and_lifestyle_dataset3[[#This Row],[Physical Activity Level]]&gt;=40,"Medium","Low"))</f>
        <v>High</v>
      </c>
    </row>
    <row r="349" spans="1:15" x14ac:dyDescent="0.25">
      <c r="A349">
        <v>348</v>
      </c>
      <c r="B349" t="s">
        <v>28</v>
      </c>
      <c r="C349">
        <v>57</v>
      </c>
      <c r="D349" t="s">
        <v>29</v>
      </c>
      <c r="E349">
        <v>8.1999999999999993</v>
      </c>
      <c r="F349">
        <v>9</v>
      </c>
      <c r="G349">
        <v>75</v>
      </c>
      <c r="H349">
        <v>3</v>
      </c>
      <c r="I349" t="s">
        <v>15</v>
      </c>
      <c r="J349">
        <v>140</v>
      </c>
      <c r="K349">
        <v>95</v>
      </c>
      <c r="L349">
        <v>7000</v>
      </c>
      <c r="M349" t="s">
        <v>24</v>
      </c>
      <c r="N349" t="str">
        <f>IF(Sleep_health_and_lifestyle_dataset3[[#This Row],[Sleep Duration]]&gt;=8,"Good",IF(Sleep_health_and_lifestyle_dataset3[[#This Row],[Sleep Duration]]&gt;=5,"Average","Poor"))</f>
        <v>Good</v>
      </c>
      <c r="O349" t="str">
        <f>IF(Sleep_health_and_lifestyle_dataset3[[#This Row],[Physical Activity Level]]&gt;=60,"High",IF(Sleep_health_and_lifestyle_dataset3[[#This Row],[Physical Activity Level]]&gt;=40,"Medium","Low"))</f>
        <v>High</v>
      </c>
    </row>
    <row r="350" spans="1:15" x14ac:dyDescent="0.25">
      <c r="A350">
        <v>349</v>
      </c>
      <c r="B350" t="s">
        <v>28</v>
      </c>
      <c r="C350">
        <v>57</v>
      </c>
      <c r="D350" t="s">
        <v>29</v>
      </c>
      <c r="E350">
        <v>8.1999999999999993</v>
      </c>
      <c r="F350">
        <v>9</v>
      </c>
      <c r="G350">
        <v>75</v>
      </c>
      <c r="H350">
        <v>3</v>
      </c>
      <c r="I350" t="s">
        <v>15</v>
      </c>
      <c r="J350">
        <v>140</v>
      </c>
      <c r="K350">
        <v>95</v>
      </c>
      <c r="L350">
        <v>7000</v>
      </c>
      <c r="M350" t="s">
        <v>24</v>
      </c>
      <c r="N350" t="str">
        <f>IF(Sleep_health_and_lifestyle_dataset3[[#This Row],[Sleep Duration]]&gt;=8,"Good",IF(Sleep_health_and_lifestyle_dataset3[[#This Row],[Sleep Duration]]&gt;=5,"Average","Poor"))</f>
        <v>Good</v>
      </c>
      <c r="O350" t="str">
        <f>IF(Sleep_health_and_lifestyle_dataset3[[#This Row],[Physical Activity Level]]&gt;=60,"High",IF(Sleep_health_and_lifestyle_dataset3[[#This Row],[Physical Activity Level]]&gt;=40,"Medium","Low"))</f>
        <v>High</v>
      </c>
    </row>
    <row r="351" spans="1:15" x14ac:dyDescent="0.25">
      <c r="A351">
        <v>350</v>
      </c>
      <c r="B351" t="s">
        <v>28</v>
      </c>
      <c r="C351">
        <v>57</v>
      </c>
      <c r="D351" t="s">
        <v>29</v>
      </c>
      <c r="E351">
        <v>8.1</v>
      </c>
      <c r="F351">
        <v>9</v>
      </c>
      <c r="G351">
        <v>75</v>
      </c>
      <c r="H351">
        <v>3</v>
      </c>
      <c r="I351" t="s">
        <v>15</v>
      </c>
      <c r="J351">
        <v>140</v>
      </c>
      <c r="K351">
        <v>95</v>
      </c>
      <c r="L351">
        <v>7000</v>
      </c>
      <c r="M351" t="s">
        <v>24</v>
      </c>
      <c r="N351" t="str">
        <f>IF(Sleep_health_and_lifestyle_dataset3[[#This Row],[Sleep Duration]]&gt;=8,"Good",IF(Sleep_health_and_lifestyle_dataset3[[#This Row],[Sleep Duration]]&gt;=5,"Average","Poor"))</f>
        <v>Good</v>
      </c>
      <c r="O351" t="str">
        <f>IF(Sleep_health_and_lifestyle_dataset3[[#This Row],[Physical Activity Level]]&gt;=60,"High",IF(Sleep_health_and_lifestyle_dataset3[[#This Row],[Physical Activity Level]]&gt;=40,"Medium","Low"))</f>
        <v>High</v>
      </c>
    </row>
    <row r="352" spans="1:15" x14ac:dyDescent="0.25">
      <c r="A352">
        <v>351</v>
      </c>
      <c r="B352" t="s">
        <v>28</v>
      </c>
      <c r="C352">
        <v>57</v>
      </c>
      <c r="D352" t="s">
        <v>29</v>
      </c>
      <c r="E352">
        <v>8.1</v>
      </c>
      <c r="F352">
        <v>9</v>
      </c>
      <c r="G352">
        <v>75</v>
      </c>
      <c r="H352">
        <v>3</v>
      </c>
      <c r="I352" t="s">
        <v>15</v>
      </c>
      <c r="J352">
        <v>140</v>
      </c>
      <c r="K352">
        <v>95</v>
      </c>
      <c r="L352">
        <v>7000</v>
      </c>
      <c r="M352" t="s">
        <v>24</v>
      </c>
      <c r="N352" t="str">
        <f>IF(Sleep_health_and_lifestyle_dataset3[[#This Row],[Sleep Duration]]&gt;=8,"Good",IF(Sleep_health_and_lifestyle_dataset3[[#This Row],[Sleep Duration]]&gt;=5,"Average","Poor"))</f>
        <v>Good</v>
      </c>
      <c r="O352" t="str">
        <f>IF(Sleep_health_and_lifestyle_dataset3[[#This Row],[Physical Activity Level]]&gt;=60,"High",IF(Sleep_health_and_lifestyle_dataset3[[#This Row],[Physical Activity Level]]&gt;=40,"Medium","Low"))</f>
        <v>High</v>
      </c>
    </row>
    <row r="353" spans="1:15" x14ac:dyDescent="0.25">
      <c r="A353">
        <v>352</v>
      </c>
      <c r="B353" t="s">
        <v>28</v>
      </c>
      <c r="C353">
        <v>57</v>
      </c>
      <c r="D353" t="s">
        <v>29</v>
      </c>
      <c r="E353">
        <v>8.1</v>
      </c>
      <c r="F353">
        <v>9</v>
      </c>
      <c r="G353">
        <v>75</v>
      </c>
      <c r="H353">
        <v>3</v>
      </c>
      <c r="I353" t="s">
        <v>15</v>
      </c>
      <c r="J353">
        <v>140</v>
      </c>
      <c r="K353">
        <v>95</v>
      </c>
      <c r="L353">
        <v>7000</v>
      </c>
      <c r="M353" t="s">
        <v>24</v>
      </c>
      <c r="N353" t="str">
        <f>IF(Sleep_health_and_lifestyle_dataset3[[#This Row],[Sleep Duration]]&gt;=8,"Good",IF(Sleep_health_and_lifestyle_dataset3[[#This Row],[Sleep Duration]]&gt;=5,"Average","Poor"))</f>
        <v>Good</v>
      </c>
      <c r="O353" t="str">
        <f>IF(Sleep_health_and_lifestyle_dataset3[[#This Row],[Physical Activity Level]]&gt;=60,"High",IF(Sleep_health_and_lifestyle_dataset3[[#This Row],[Physical Activity Level]]&gt;=40,"Medium","Low"))</f>
        <v>High</v>
      </c>
    </row>
    <row r="354" spans="1:15" x14ac:dyDescent="0.25">
      <c r="A354">
        <v>353</v>
      </c>
      <c r="B354" t="s">
        <v>28</v>
      </c>
      <c r="C354">
        <v>58</v>
      </c>
      <c r="D354" t="s">
        <v>29</v>
      </c>
      <c r="E354">
        <v>8</v>
      </c>
      <c r="F354">
        <v>9</v>
      </c>
      <c r="G354">
        <v>75</v>
      </c>
      <c r="H354">
        <v>3</v>
      </c>
      <c r="I354" t="s">
        <v>15</v>
      </c>
      <c r="J354">
        <v>140</v>
      </c>
      <c r="K354">
        <v>95</v>
      </c>
      <c r="L354">
        <v>7000</v>
      </c>
      <c r="M354" t="s">
        <v>24</v>
      </c>
      <c r="N354" t="str">
        <f>IF(Sleep_health_and_lifestyle_dataset3[[#This Row],[Sleep Duration]]&gt;=8,"Good",IF(Sleep_health_and_lifestyle_dataset3[[#This Row],[Sleep Duration]]&gt;=5,"Average","Poor"))</f>
        <v>Good</v>
      </c>
      <c r="O354" t="str">
        <f>IF(Sleep_health_and_lifestyle_dataset3[[#This Row],[Physical Activity Level]]&gt;=60,"High",IF(Sleep_health_and_lifestyle_dataset3[[#This Row],[Physical Activity Level]]&gt;=40,"Medium","Low"))</f>
        <v>High</v>
      </c>
    </row>
    <row r="355" spans="1:15" x14ac:dyDescent="0.25">
      <c r="A355">
        <v>354</v>
      </c>
      <c r="B355" t="s">
        <v>28</v>
      </c>
      <c r="C355">
        <v>58</v>
      </c>
      <c r="D355" t="s">
        <v>29</v>
      </c>
      <c r="E355">
        <v>8</v>
      </c>
      <c r="F355">
        <v>9</v>
      </c>
      <c r="G355">
        <v>75</v>
      </c>
      <c r="H355">
        <v>3</v>
      </c>
      <c r="I355" t="s">
        <v>15</v>
      </c>
      <c r="J355">
        <v>140</v>
      </c>
      <c r="K355">
        <v>95</v>
      </c>
      <c r="L355">
        <v>7000</v>
      </c>
      <c r="M355" t="s">
        <v>24</v>
      </c>
      <c r="N355" t="str">
        <f>IF(Sleep_health_and_lifestyle_dataset3[[#This Row],[Sleep Duration]]&gt;=8,"Good",IF(Sleep_health_and_lifestyle_dataset3[[#This Row],[Sleep Duration]]&gt;=5,"Average","Poor"))</f>
        <v>Good</v>
      </c>
      <c r="O355" t="str">
        <f>IF(Sleep_health_and_lifestyle_dataset3[[#This Row],[Physical Activity Level]]&gt;=60,"High",IF(Sleep_health_and_lifestyle_dataset3[[#This Row],[Physical Activity Level]]&gt;=40,"Medium","Low"))</f>
        <v>High</v>
      </c>
    </row>
    <row r="356" spans="1:15" x14ac:dyDescent="0.25">
      <c r="A356">
        <v>355</v>
      </c>
      <c r="B356" t="s">
        <v>28</v>
      </c>
      <c r="C356">
        <v>58</v>
      </c>
      <c r="D356" t="s">
        <v>29</v>
      </c>
      <c r="E356">
        <v>8</v>
      </c>
      <c r="F356">
        <v>9</v>
      </c>
      <c r="G356">
        <v>75</v>
      </c>
      <c r="H356">
        <v>3</v>
      </c>
      <c r="I356" t="s">
        <v>15</v>
      </c>
      <c r="J356">
        <v>140</v>
      </c>
      <c r="K356">
        <v>95</v>
      </c>
      <c r="L356">
        <v>7000</v>
      </c>
      <c r="M356" t="s">
        <v>24</v>
      </c>
      <c r="N356" t="str">
        <f>IF(Sleep_health_and_lifestyle_dataset3[[#This Row],[Sleep Duration]]&gt;=8,"Good",IF(Sleep_health_and_lifestyle_dataset3[[#This Row],[Sleep Duration]]&gt;=5,"Average","Poor"))</f>
        <v>Good</v>
      </c>
      <c r="O356" t="str">
        <f>IF(Sleep_health_and_lifestyle_dataset3[[#This Row],[Physical Activity Level]]&gt;=60,"High",IF(Sleep_health_and_lifestyle_dataset3[[#This Row],[Physical Activity Level]]&gt;=40,"Medium","Low"))</f>
        <v>High</v>
      </c>
    </row>
    <row r="357" spans="1:15" x14ac:dyDescent="0.25">
      <c r="A357">
        <v>356</v>
      </c>
      <c r="B357" t="s">
        <v>28</v>
      </c>
      <c r="C357">
        <v>58</v>
      </c>
      <c r="D357" t="s">
        <v>29</v>
      </c>
      <c r="E357">
        <v>8</v>
      </c>
      <c r="F357">
        <v>9</v>
      </c>
      <c r="G357">
        <v>75</v>
      </c>
      <c r="H357">
        <v>3</v>
      </c>
      <c r="I357" t="s">
        <v>15</v>
      </c>
      <c r="J357">
        <v>140</v>
      </c>
      <c r="K357">
        <v>95</v>
      </c>
      <c r="L357">
        <v>7000</v>
      </c>
      <c r="M357" t="s">
        <v>24</v>
      </c>
      <c r="N357" t="str">
        <f>IF(Sleep_health_and_lifestyle_dataset3[[#This Row],[Sleep Duration]]&gt;=8,"Good",IF(Sleep_health_and_lifestyle_dataset3[[#This Row],[Sleep Duration]]&gt;=5,"Average","Poor"))</f>
        <v>Good</v>
      </c>
      <c r="O357" t="str">
        <f>IF(Sleep_health_and_lifestyle_dataset3[[#This Row],[Physical Activity Level]]&gt;=60,"High",IF(Sleep_health_and_lifestyle_dataset3[[#This Row],[Physical Activity Level]]&gt;=40,"Medium","Low"))</f>
        <v>High</v>
      </c>
    </row>
    <row r="358" spans="1:15" x14ac:dyDescent="0.25">
      <c r="A358">
        <v>357</v>
      </c>
      <c r="B358" t="s">
        <v>28</v>
      </c>
      <c r="C358">
        <v>58</v>
      </c>
      <c r="D358" t="s">
        <v>29</v>
      </c>
      <c r="E358">
        <v>8</v>
      </c>
      <c r="F358">
        <v>9</v>
      </c>
      <c r="G358">
        <v>75</v>
      </c>
      <c r="H358">
        <v>3</v>
      </c>
      <c r="I358" t="s">
        <v>15</v>
      </c>
      <c r="J358">
        <v>140</v>
      </c>
      <c r="K358">
        <v>95</v>
      </c>
      <c r="L358">
        <v>7000</v>
      </c>
      <c r="M358" t="s">
        <v>24</v>
      </c>
      <c r="N358" t="str">
        <f>IF(Sleep_health_and_lifestyle_dataset3[[#This Row],[Sleep Duration]]&gt;=8,"Good",IF(Sleep_health_and_lifestyle_dataset3[[#This Row],[Sleep Duration]]&gt;=5,"Average","Poor"))</f>
        <v>Good</v>
      </c>
      <c r="O358" t="str">
        <f>IF(Sleep_health_and_lifestyle_dataset3[[#This Row],[Physical Activity Level]]&gt;=60,"High",IF(Sleep_health_and_lifestyle_dataset3[[#This Row],[Physical Activity Level]]&gt;=40,"Medium","Low"))</f>
        <v>High</v>
      </c>
    </row>
    <row r="359" spans="1:15" x14ac:dyDescent="0.25">
      <c r="A359">
        <v>358</v>
      </c>
      <c r="B359" t="s">
        <v>28</v>
      </c>
      <c r="C359">
        <v>58</v>
      </c>
      <c r="D359" t="s">
        <v>29</v>
      </c>
      <c r="E359">
        <v>8</v>
      </c>
      <c r="F359">
        <v>9</v>
      </c>
      <c r="G359">
        <v>75</v>
      </c>
      <c r="H359">
        <v>3</v>
      </c>
      <c r="I359" t="s">
        <v>15</v>
      </c>
      <c r="J359">
        <v>140</v>
      </c>
      <c r="K359">
        <v>95</v>
      </c>
      <c r="L359">
        <v>7000</v>
      </c>
      <c r="M359" t="s">
        <v>24</v>
      </c>
      <c r="N359" t="str">
        <f>IF(Sleep_health_and_lifestyle_dataset3[[#This Row],[Sleep Duration]]&gt;=8,"Good",IF(Sleep_health_and_lifestyle_dataset3[[#This Row],[Sleep Duration]]&gt;=5,"Average","Poor"))</f>
        <v>Good</v>
      </c>
      <c r="O359" t="str">
        <f>IF(Sleep_health_and_lifestyle_dataset3[[#This Row],[Physical Activity Level]]&gt;=60,"High",IF(Sleep_health_and_lifestyle_dataset3[[#This Row],[Physical Activity Level]]&gt;=40,"Medium","Low"))</f>
        <v>High</v>
      </c>
    </row>
    <row r="360" spans="1:15" x14ac:dyDescent="0.25">
      <c r="A360">
        <v>359</v>
      </c>
      <c r="B360" t="s">
        <v>28</v>
      </c>
      <c r="C360">
        <v>59</v>
      </c>
      <c r="D360" t="s">
        <v>29</v>
      </c>
      <c r="E360">
        <v>8</v>
      </c>
      <c r="F360">
        <v>9</v>
      </c>
      <c r="G360">
        <v>75</v>
      </c>
      <c r="H360">
        <v>3</v>
      </c>
      <c r="I360" t="s">
        <v>15</v>
      </c>
      <c r="J360">
        <v>140</v>
      </c>
      <c r="K360">
        <v>95</v>
      </c>
      <c r="L360">
        <v>7000</v>
      </c>
      <c r="M360" t="s">
        <v>17</v>
      </c>
      <c r="N360" t="str">
        <f>IF(Sleep_health_and_lifestyle_dataset3[[#This Row],[Sleep Duration]]&gt;=8,"Good",IF(Sleep_health_and_lifestyle_dataset3[[#This Row],[Sleep Duration]]&gt;=5,"Average","Poor"))</f>
        <v>Good</v>
      </c>
      <c r="O360" t="str">
        <f>IF(Sleep_health_and_lifestyle_dataset3[[#This Row],[Physical Activity Level]]&gt;=60,"High",IF(Sleep_health_and_lifestyle_dataset3[[#This Row],[Physical Activity Level]]&gt;=40,"Medium","Low"))</f>
        <v>High</v>
      </c>
    </row>
    <row r="361" spans="1:15" x14ac:dyDescent="0.25">
      <c r="A361">
        <v>360</v>
      </c>
      <c r="B361" t="s">
        <v>28</v>
      </c>
      <c r="C361">
        <v>59</v>
      </c>
      <c r="D361" t="s">
        <v>29</v>
      </c>
      <c r="E361">
        <v>8.1</v>
      </c>
      <c r="F361">
        <v>9</v>
      </c>
      <c r="G361">
        <v>75</v>
      </c>
      <c r="H361">
        <v>3</v>
      </c>
      <c r="I361" t="s">
        <v>15</v>
      </c>
      <c r="J361">
        <v>140</v>
      </c>
      <c r="K361">
        <v>95</v>
      </c>
      <c r="L361">
        <v>7000</v>
      </c>
      <c r="M361" t="s">
        <v>17</v>
      </c>
      <c r="N361" t="str">
        <f>IF(Sleep_health_and_lifestyle_dataset3[[#This Row],[Sleep Duration]]&gt;=8,"Good",IF(Sleep_health_and_lifestyle_dataset3[[#This Row],[Sleep Duration]]&gt;=5,"Average","Poor"))</f>
        <v>Good</v>
      </c>
      <c r="O361" t="str">
        <f>IF(Sleep_health_and_lifestyle_dataset3[[#This Row],[Physical Activity Level]]&gt;=60,"High",IF(Sleep_health_and_lifestyle_dataset3[[#This Row],[Physical Activity Level]]&gt;=40,"Medium","Low"))</f>
        <v>High</v>
      </c>
    </row>
    <row r="362" spans="1:15" x14ac:dyDescent="0.25">
      <c r="A362">
        <v>361</v>
      </c>
      <c r="B362" t="s">
        <v>28</v>
      </c>
      <c r="C362">
        <v>59</v>
      </c>
      <c r="D362" t="s">
        <v>29</v>
      </c>
      <c r="E362">
        <v>8.1999999999999993</v>
      </c>
      <c r="F362">
        <v>9</v>
      </c>
      <c r="G362">
        <v>75</v>
      </c>
      <c r="H362">
        <v>3</v>
      </c>
      <c r="I362" t="s">
        <v>15</v>
      </c>
      <c r="J362">
        <v>140</v>
      </c>
      <c r="K362">
        <v>95</v>
      </c>
      <c r="L362">
        <v>7000</v>
      </c>
      <c r="M362" t="s">
        <v>24</v>
      </c>
      <c r="N362" t="str">
        <f>IF(Sleep_health_and_lifestyle_dataset3[[#This Row],[Sleep Duration]]&gt;=8,"Good",IF(Sleep_health_and_lifestyle_dataset3[[#This Row],[Sleep Duration]]&gt;=5,"Average","Poor"))</f>
        <v>Good</v>
      </c>
      <c r="O362" t="str">
        <f>IF(Sleep_health_and_lifestyle_dataset3[[#This Row],[Physical Activity Level]]&gt;=60,"High",IF(Sleep_health_and_lifestyle_dataset3[[#This Row],[Physical Activity Level]]&gt;=40,"Medium","Low"))</f>
        <v>High</v>
      </c>
    </row>
    <row r="363" spans="1:15" x14ac:dyDescent="0.25">
      <c r="A363">
        <v>362</v>
      </c>
      <c r="B363" t="s">
        <v>28</v>
      </c>
      <c r="C363">
        <v>59</v>
      </c>
      <c r="D363" t="s">
        <v>29</v>
      </c>
      <c r="E363">
        <v>8.1999999999999993</v>
      </c>
      <c r="F363">
        <v>9</v>
      </c>
      <c r="G363">
        <v>75</v>
      </c>
      <c r="H363">
        <v>3</v>
      </c>
      <c r="I363" t="s">
        <v>15</v>
      </c>
      <c r="J363">
        <v>140</v>
      </c>
      <c r="K363">
        <v>95</v>
      </c>
      <c r="L363">
        <v>7000</v>
      </c>
      <c r="M363" t="s">
        <v>24</v>
      </c>
      <c r="N363" t="str">
        <f>IF(Sleep_health_and_lifestyle_dataset3[[#This Row],[Sleep Duration]]&gt;=8,"Good",IF(Sleep_health_and_lifestyle_dataset3[[#This Row],[Sleep Duration]]&gt;=5,"Average","Poor"))</f>
        <v>Good</v>
      </c>
      <c r="O363" t="str">
        <f>IF(Sleep_health_and_lifestyle_dataset3[[#This Row],[Physical Activity Level]]&gt;=60,"High",IF(Sleep_health_and_lifestyle_dataset3[[#This Row],[Physical Activity Level]]&gt;=40,"Medium","Low"))</f>
        <v>High</v>
      </c>
    </row>
    <row r="364" spans="1:15" x14ac:dyDescent="0.25">
      <c r="A364">
        <v>363</v>
      </c>
      <c r="B364" t="s">
        <v>28</v>
      </c>
      <c r="C364">
        <v>59</v>
      </c>
      <c r="D364" t="s">
        <v>29</v>
      </c>
      <c r="E364">
        <v>8.1999999999999993</v>
      </c>
      <c r="F364">
        <v>9</v>
      </c>
      <c r="G364">
        <v>75</v>
      </c>
      <c r="H364">
        <v>3</v>
      </c>
      <c r="I364" t="s">
        <v>15</v>
      </c>
      <c r="J364">
        <v>140</v>
      </c>
      <c r="K364">
        <v>95</v>
      </c>
      <c r="L364">
        <v>7000</v>
      </c>
      <c r="M364" t="s">
        <v>24</v>
      </c>
      <c r="N364" t="str">
        <f>IF(Sleep_health_and_lifestyle_dataset3[[#This Row],[Sleep Duration]]&gt;=8,"Good",IF(Sleep_health_and_lifestyle_dataset3[[#This Row],[Sleep Duration]]&gt;=5,"Average","Poor"))</f>
        <v>Good</v>
      </c>
      <c r="O364" t="str">
        <f>IF(Sleep_health_and_lifestyle_dataset3[[#This Row],[Physical Activity Level]]&gt;=60,"High",IF(Sleep_health_and_lifestyle_dataset3[[#This Row],[Physical Activity Level]]&gt;=40,"Medium","Low"))</f>
        <v>High</v>
      </c>
    </row>
    <row r="365" spans="1:15" x14ac:dyDescent="0.25">
      <c r="A365">
        <v>364</v>
      </c>
      <c r="B365" t="s">
        <v>28</v>
      </c>
      <c r="C365">
        <v>59</v>
      </c>
      <c r="D365" t="s">
        <v>29</v>
      </c>
      <c r="E365">
        <v>8.1999999999999993</v>
      </c>
      <c r="F365">
        <v>9</v>
      </c>
      <c r="G365">
        <v>75</v>
      </c>
      <c r="H365">
        <v>3</v>
      </c>
      <c r="I365" t="s">
        <v>15</v>
      </c>
      <c r="J365">
        <v>140</v>
      </c>
      <c r="K365">
        <v>95</v>
      </c>
      <c r="L365">
        <v>7000</v>
      </c>
      <c r="M365" t="s">
        <v>24</v>
      </c>
      <c r="N365" t="str">
        <f>IF(Sleep_health_and_lifestyle_dataset3[[#This Row],[Sleep Duration]]&gt;=8,"Good",IF(Sleep_health_and_lifestyle_dataset3[[#This Row],[Sleep Duration]]&gt;=5,"Average","Poor"))</f>
        <v>Good</v>
      </c>
      <c r="O365" t="str">
        <f>IF(Sleep_health_and_lifestyle_dataset3[[#This Row],[Physical Activity Level]]&gt;=60,"High",IF(Sleep_health_and_lifestyle_dataset3[[#This Row],[Physical Activity Level]]&gt;=40,"Medium","Low"))</f>
        <v>High</v>
      </c>
    </row>
    <row r="366" spans="1:15" x14ac:dyDescent="0.25">
      <c r="A366">
        <v>365</v>
      </c>
      <c r="B366" t="s">
        <v>28</v>
      </c>
      <c r="C366">
        <v>59</v>
      </c>
      <c r="D366" t="s">
        <v>29</v>
      </c>
      <c r="E366">
        <v>8</v>
      </c>
      <c r="F366">
        <v>9</v>
      </c>
      <c r="G366">
        <v>75</v>
      </c>
      <c r="H366">
        <v>3</v>
      </c>
      <c r="I366" t="s">
        <v>15</v>
      </c>
      <c r="J366">
        <v>140</v>
      </c>
      <c r="K366">
        <v>95</v>
      </c>
      <c r="L366">
        <v>7000</v>
      </c>
      <c r="M366" t="s">
        <v>24</v>
      </c>
      <c r="N366" t="str">
        <f>IF(Sleep_health_and_lifestyle_dataset3[[#This Row],[Sleep Duration]]&gt;=8,"Good",IF(Sleep_health_and_lifestyle_dataset3[[#This Row],[Sleep Duration]]&gt;=5,"Average","Poor"))</f>
        <v>Good</v>
      </c>
      <c r="O366" t="str">
        <f>IF(Sleep_health_and_lifestyle_dataset3[[#This Row],[Physical Activity Level]]&gt;=60,"High",IF(Sleep_health_and_lifestyle_dataset3[[#This Row],[Physical Activity Level]]&gt;=40,"Medium","Low"))</f>
        <v>High</v>
      </c>
    </row>
    <row r="367" spans="1:15" x14ac:dyDescent="0.25">
      <c r="A367">
        <v>366</v>
      </c>
      <c r="B367" t="s">
        <v>28</v>
      </c>
      <c r="C367">
        <v>59</v>
      </c>
      <c r="D367" t="s">
        <v>29</v>
      </c>
      <c r="E367">
        <v>8</v>
      </c>
      <c r="F367">
        <v>9</v>
      </c>
      <c r="G367">
        <v>75</v>
      </c>
      <c r="H367">
        <v>3</v>
      </c>
      <c r="I367" t="s">
        <v>15</v>
      </c>
      <c r="J367">
        <v>140</v>
      </c>
      <c r="K367">
        <v>95</v>
      </c>
      <c r="L367">
        <v>7000</v>
      </c>
      <c r="M367" t="s">
        <v>24</v>
      </c>
      <c r="N367" t="str">
        <f>IF(Sleep_health_and_lifestyle_dataset3[[#This Row],[Sleep Duration]]&gt;=8,"Good",IF(Sleep_health_and_lifestyle_dataset3[[#This Row],[Sleep Duration]]&gt;=5,"Average","Poor"))</f>
        <v>Good</v>
      </c>
      <c r="O367" t="str">
        <f>IF(Sleep_health_and_lifestyle_dataset3[[#This Row],[Physical Activity Level]]&gt;=60,"High",IF(Sleep_health_and_lifestyle_dataset3[[#This Row],[Physical Activity Level]]&gt;=40,"Medium","Low"))</f>
        <v>High</v>
      </c>
    </row>
    <row r="368" spans="1:15" x14ac:dyDescent="0.25">
      <c r="A368">
        <v>367</v>
      </c>
      <c r="B368" t="s">
        <v>28</v>
      </c>
      <c r="C368">
        <v>59</v>
      </c>
      <c r="D368" t="s">
        <v>29</v>
      </c>
      <c r="E368">
        <v>8.1</v>
      </c>
      <c r="F368">
        <v>9</v>
      </c>
      <c r="G368">
        <v>75</v>
      </c>
      <c r="H368">
        <v>3</v>
      </c>
      <c r="I368" t="s">
        <v>15</v>
      </c>
      <c r="J368">
        <v>140</v>
      </c>
      <c r="K368">
        <v>95</v>
      </c>
      <c r="L368">
        <v>7000</v>
      </c>
      <c r="M368" t="s">
        <v>24</v>
      </c>
      <c r="N368" t="str">
        <f>IF(Sleep_health_and_lifestyle_dataset3[[#This Row],[Sleep Duration]]&gt;=8,"Good",IF(Sleep_health_and_lifestyle_dataset3[[#This Row],[Sleep Duration]]&gt;=5,"Average","Poor"))</f>
        <v>Good</v>
      </c>
      <c r="O368" t="str">
        <f>IF(Sleep_health_and_lifestyle_dataset3[[#This Row],[Physical Activity Level]]&gt;=60,"High",IF(Sleep_health_and_lifestyle_dataset3[[#This Row],[Physical Activity Level]]&gt;=40,"Medium","Low"))</f>
        <v>High</v>
      </c>
    </row>
    <row r="369" spans="1:15" x14ac:dyDescent="0.25">
      <c r="A369">
        <v>368</v>
      </c>
      <c r="B369" t="s">
        <v>28</v>
      </c>
      <c r="C369">
        <v>59</v>
      </c>
      <c r="D369" t="s">
        <v>29</v>
      </c>
      <c r="E369">
        <v>8</v>
      </c>
      <c r="F369">
        <v>9</v>
      </c>
      <c r="G369">
        <v>75</v>
      </c>
      <c r="H369">
        <v>3</v>
      </c>
      <c r="I369" t="s">
        <v>15</v>
      </c>
      <c r="J369">
        <v>140</v>
      </c>
      <c r="K369">
        <v>95</v>
      </c>
      <c r="L369">
        <v>7000</v>
      </c>
      <c r="M369" t="s">
        <v>24</v>
      </c>
      <c r="N369" t="str">
        <f>IF(Sleep_health_and_lifestyle_dataset3[[#This Row],[Sleep Duration]]&gt;=8,"Good",IF(Sleep_health_and_lifestyle_dataset3[[#This Row],[Sleep Duration]]&gt;=5,"Average","Poor"))</f>
        <v>Good</v>
      </c>
      <c r="O369" t="str">
        <f>IF(Sleep_health_and_lifestyle_dataset3[[#This Row],[Physical Activity Level]]&gt;=60,"High",IF(Sleep_health_and_lifestyle_dataset3[[#This Row],[Physical Activity Level]]&gt;=40,"Medium","Low"))</f>
        <v>High</v>
      </c>
    </row>
    <row r="370" spans="1:15" x14ac:dyDescent="0.25">
      <c r="A370">
        <v>369</v>
      </c>
      <c r="B370" t="s">
        <v>28</v>
      </c>
      <c r="C370">
        <v>59</v>
      </c>
      <c r="D370" t="s">
        <v>29</v>
      </c>
      <c r="E370">
        <v>8.1</v>
      </c>
      <c r="F370">
        <v>9</v>
      </c>
      <c r="G370">
        <v>75</v>
      </c>
      <c r="H370">
        <v>3</v>
      </c>
      <c r="I370" t="s">
        <v>15</v>
      </c>
      <c r="J370">
        <v>140</v>
      </c>
      <c r="K370">
        <v>95</v>
      </c>
      <c r="L370">
        <v>7000</v>
      </c>
      <c r="M370" t="s">
        <v>24</v>
      </c>
      <c r="N370" t="str">
        <f>IF(Sleep_health_and_lifestyle_dataset3[[#This Row],[Sleep Duration]]&gt;=8,"Good",IF(Sleep_health_and_lifestyle_dataset3[[#This Row],[Sleep Duration]]&gt;=5,"Average","Poor"))</f>
        <v>Good</v>
      </c>
      <c r="O370" t="str">
        <f>IF(Sleep_health_and_lifestyle_dataset3[[#This Row],[Physical Activity Level]]&gt;=60,"High",IF(Sleep_health_and_lifestyle_dataset3[[#This Row],[Physical Activity Level]]&gt;=40,"Medium","Low"))</f>
        <v>High</v>
      </c>
    </row>
    <row r="371" spans="1:15" x14ac:dyDescent="0.25">
      <c r="A371">
        <v>370</v>
      </c>
      <c r="B371" t="s">
        <v>28</v>
      </c>
      <c r="C371">
        <v>59</v>
      </c>
      <c r="D371" t="s">
        <v>29</v>
      </c>
      <c r="E371">
        <v>8.1</v>
      </c>
      <c r="F371">
        <v>9</v>
      </c>
      <c r="G371">
        <v>75</v>
      </c>
      <c r="H371">
        <v>3</v>
      </c>
      <c r="I371" t="s">
        <v>15</v>
      </c>
      <c r="J371">
        <v>140</v>
      </c>
      <c r="K371">
        <v>95</v>
      </c>
      <c r="L371">
        <v>7000</v>
      </c>
      <c r="M371" t="s">
        <v>24</v>
      </c>
      <c r="N371" t="str">
        <f>IF(Sleep_health_and_lifestyle_dataset3[[#This Row],[Sleep Duration]]&gt;=8,"Good",IF(Sleep_health_and_lifestyle_dataset3[[#This Row],[Sleep Duration]]&gt;=5,"Average","Poor"))</f>
        <v>Good</v>
      </c>
      <c r="O371" t="str">
        <f>IF(Sleep_health_and_lifestyle_dataset3[[#This Row],[Physical Activity Level]]&gt;=60,"High",IF(Sleep_health_and_lifestyle_dataset3[[#This Row],[Physical Activity Level]]&gt;=40,"Medium","Low"))</f>
        <v>High</v>
      </c>
    </row>
    <row r="372" spans="1:15" x14ac:dyDescent="0.25">
      <c r="A372">
        <v>371</v>
      </c>
      <c r="B372" t="s">
        <v>28</v>
      </c>
      <c r="C372">
        <v>59</v>
      </c>
      <c r="D372" t="s">
        <v>29</v>
      </c>
      <c r="E372">
        <v>8</v>
      </c>
      <c r="F372">
        <v>9</v>
      </c>
      <c r="G372">
        <v>75</v>
      </c>
      <c r="H372">
        <v>3</v>
      </c>
      <c r="I372" t="s">
        <v>15</v>
      </c>
      <c r="J372">
        <v>140</v>
      </c>
      <c r="K372">
        <v>95</v>
      </c>
      <c r="L372">
        <v>7000</v>
      </c>
      <c r="M372" t="s">
        <v>24</v>
      </c>
      <c r="N372" t="str">
        <f>IF(Sleep_health_and_lifestyle_dataset3[[#This Row],[Sleep Duration]]&gt;=8,"Good",IF(Sleep_health_and_lifestyle_dataset3[[#This Row],[Sleep Duration]]&gt;=5,"Average","Poor"))</f>
        <v>Good</v>
      </c>
      <c r="O372" t="str">
        <f>IF(Sleep_health_and_lifestyle_dataset3[[#This Row],[Physical Activity Level]]&gt;=60,"High",IF(Sleep_health_and_lifestyle_dataset3[[#This Row],[Physical Activity Level]]&gt;=40,"Medium","Low"))</f>
        <v>High</v>
      </c>
    </row>
    <row r="373" spans="1:15" x14ac:dyDescent="0.25">
      <c r="A373">
        <v>372</v>
      </c>
      <c r="B373" t="s">
        <v>28</v>
      </c>
      <c r="C373">
        <v>59</v>
      </c>
      <c r="D373" t="s">
        <v>29</v>
      </c>
      <c r="E373">
        <v>8.1</v>
      </c>
      <c r="F373">
        <v>9</v>
      </c>
      <c r="G373">
        <v>75</v>
      </c>
      <c r="H373">
        <v>3</v>
      </c>
      <c r="I373" t="s">
        <v>15</v>
      </c>
      <c r="J373">
        <v>140</v>
      </c>
      <c r="K373">
        <v>95</v>
      </c>
      <c r="L373">
        <v>7000</v>
      </c>
      <c r="M373" t="s">
        <v>24</v>
      </c>
      <c r="N373" t="str">
        <f>IF(Sleep_health_and_lifestyle_dataset3[[#This Row],[Sleep Duration]]&gt;=8,"Good",IF(Sleep_health_and_lifestyle_dataset3[[#This Row],[Sleep Duration]]&gt;=5,"Average","Poor"))</f>
        <v>Good</v>
      </c>
      <c r="O373" t="str">
        <f>IF(Sleep_health_and_lifestyle_dataset3[[#This Row],[Physical Activity Level]]&gt;=60,"High",IF(Sleep_health_and_lifestyle_dataset3[[#This Row],[Physical Activity Level]]&gt;=40,"Medium","Low"))</f>
        <v>High</v>
      </c>
    </row>
    <row r="374" spans="1:15" x14ac:dyDescent="0.25">
      <c r="A374">
        <v>373</v>
      </c>
      <c r="B374" t="s">
        <v>28</v>
      </c>
      <c r="C374">
        <v>59</v>
      </c>
      <c r="D374" t="s">
        <v>29</v>
      </c>
      <c r="E374">
        <v>8.1</v>
      </c>
      <c r="F374">
        <v>9</v>
      </c>
      <c r="G374">
        <v>75</v>
      </c>
      <c r="H374">
        <v>3</v>
      </c>
      <c r="I374" t="s">
        <v>15</v>
      </c>
      <c r="J374">
        <v>140</v>
      </c>
      <c r="K374">
        <v>95</v>
      </c>
      <c r="L374">
        <v>7000</v>
      </c>
      <c r="M374" t="s">
        <v>24</v>
      </c>
      <c r="N374" t="str">
        <f>IF(Sleep_health_and_lifestyle_dataset3[[#This Row],[Sleep Duration]]&gt;=8,"Good",IF(Sleep_health_and_lifestyle_dataset3[[#This Row],[Sleep Duration]]&gt;=5,"Average","Poor"))</f>
        <v>Good</v>
      </c>
      <c r="O374" t="str">
        <f>IF(Sleep_health_and_lifestyle_dataset3[[#This Row],[Physical Activity Level]]&gt;=60,"High",IF(Sleep_health_and_lifestyle_dataset3[[#This Row],[Physical Activity Level]]&gt;=40,"Medium","Low"))</f>
        <v>High</v>
      </c>
    </row>
    <row r="375" spans="1:15" x14ac:dyDescent="0.25">
      <c r="A375">
        <v>374</v>
      </c>
      <c r="B375" t="s">
        <v>28</v>
      </c>
      <c r="C375">
        <v>59</v>
      </c>
      <c r="D375" t="s">
        <v>29</v>
      </c>
      <c r="E375">
        <v>8.1</v>
      </c>
      <c r="F375">
        <v>9</v>
      </c>
      <c r="G375">
        <v>75</v>
      </c>
      <c r="H375">
        <v>3</v>
      </c>
      <c r="I375" t="s">
        <v>15</v>
      </c>
      <c r="J375">
        <v>140</v>
      </c>
      <c r="K375">
        <v>95</v>
      </c>
      <c r="L375">
        <v>7000</v>
      </c>
      <c r="M375" t="s">
        <v>24</v>
      </c>
      <c r="N375" t="str">
        <f>IF(Sleep_health_and_lifestyle_dataset3[[#This Row],[Sleep Duration]]&gt;=8,"Good",IF(Sleep_health_and_lifestyle_dataset3[[#This Row],[Sleep Duration]]&gt;=5,"Average","Poor"))</f>
        <v>Good</v>
      </c>
      <c r="O375" t="str">
        <f>IF(Sleep_health_and_lifestyle_dataset3[[#This Row],[Physical Activity Level]]&gt;=60,"High",IF(Sleep_health_and_lifestyle_dataset3[[#This Row],[Physical Activity Level]]&gt;=40,"Medium","Low"))</f>
        <v>High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85A0-0DBE-47F5-B0CE-9B94D34CB104}">
  <dimension ref="A3:AF90"/>
  <sheetViews>
    <sheetView topLeftCell="G28" workbookViewId="0">
      <selection activeCell="N35" sqref="N35"/>
    </sheetView>
  </sheetViews>
  <sheetFormatPr defaultRowHeight="15" x14ac:dyDescent="0.25"/>
  <cols>
    <col min="1" max="1" width="13.140625" bestFit="1" customWidth="1"/>
    <col min="2" max="2" width="21" bestFit="1" customWidth="1"/>
    <col min="3" max="3" width="5.85546875" bestFit="1" customWidth="1"/>
    <col min="4" max="4" width="12.140625" bestFit="1" customWidth="1"/>
    <col min="5" max="5" width="11.28515625" bestFit="1" customWidth="1"/>
    <col min="6" max="6" width="13.140625" bestFit="1" customWidth="1"/>
    <col min="7" max="7" width="25.7109375" bestFit="1" customWidth="1"/>
    <col min="11" max="11" width="17.7109375" bestFit="1" customWidth="1"/>
    <col min="12" max="12" width="16.28515625" bestFit="1" customWidth="1"/>
    <col min="13" max="13" width="5.85546875" bestFit="1" customWidth="1"/>
    <col min="14" max="14" width="12.140625" bestFit="1" customWidth="1"/>
    <col min="15" max="15" width="11.28515625" bestFit="1" customWidth="1"/>
    <col min="18" max="18" width="19.85546875" bestFit="1" customWidth="1"/>
    <col min="19" max="19" width="21" bestFit="1" customWidth="1"/>
    <col min="24" max="24" width="13.140625" bestFit="1" customWidth="1"/>
    <col min="25" max="25" width="17.7109375" bestFit="1" customWidth="1"/>
    <col min="31" max="31" width="22.42578125" bestFit="1" customWidth="1"/>
  </cols>
  <sheetData>
    <row r="3" spans="1:7" x14ac:dyDescent="0.25">
      <c r="A3" s="2" t="s">
        <v>62</v>
      </c>
      <c r="B3" t="s">
        <v>64</v>
      </c>
    </row>
    <row r="4" spans="1:7" x14ac:dyDescent="0.25">
      <c r="A4" s="3" t="s">
        <v>28</v>
      </c>
      <c r="B4" s="4">
        <v>1337.4999999999998</v>
      </c>
    </row>
    <row r="5" spans="1:7" x14ac:dyDescent="0.25">
      <c r="A5" s="3" t="s">
        <v>13</v>
      </c>
      <c r="B5" s="4">
        <v>1329.8999999999994</v>
      </c>
    </row>
    <row r="6" spans="1:7" x14ac:dyDescent="0.25">
      <c r="A6" s="3" t="s">
        <v>63</v>
      </c>
      <c r="B6" s="4">
        <v>2667.3999999999992</v>
      </c>
    </row>
    <row r="15" spans="1:7" x14ac:dyDescent="0.25">
      <c r="F15" s="2" t="s">
        <v>62</v>
      </c>
      <c r="G15" t="s">
        <v>66</v>
      </c>
    </row>
    <row r="16" spans="1:7" x14ac:dyDescent="0.25">
      <c r="F16" s="3">
        <v>3</v>
      </c>
      <c r="G16" s="4">
        <v>8.9718309859154921</v>
      </c>
    </row>
    <row r="17" spans="6:7" x14ac:dyDescent="0.25">
      <c r="F17" s="3">
        <v>4</v>
      </c>
      <c r="G17" s="4">
        <v>7.6714285714285717</v>
      </c>
    </row>
    <row r="18" spans="6:7" x14ac:dyDescent="0.25">
      <c r="F18" s="3">
        <v>5</v>
      </c>
      <c r="G18" s="4">
        <v>7.8955223880597014</v>
      </c>
    </row>
    <row r="19" spans="6:7" x14ac:dyDescent="0.25">
      <c r="F19" s="3">
        <v>6</v>
      </c>
      <c r="G19" s="4">
        <v>7</v>
      </c>
    </row>
    <row r="20" spans="6:7" x14ac:dyDescent="0.25">
      <c r="F20" s="3">
        <v>7</v>
      </c>
      <c r="G20" s="4">
        <v>6</v>
      </c>
    </row>
    <row r="21" spans="6:7" x14ac:dyDescent="0.25">
      <c r="F21" s="3">
        <v>8</v>
      </c>
      <c r="G21" s="4">
        <v>5.8571428571428568</v>
      </c>
    </row>
    <row r="22" spans="6:7" x14ac:dyDescent="0.25">
      <c r="F22" s="3" t="s">
        <v>63</v>
      </c>
      <c r="G22" s="4">
        <v>7.3128342245989302</v>
      </c>
    </row>
    <row r="35" spans="11:15" x14ac:dyDescent="0.25">
      <c r="K35" s="2" t="s">
        <v>67</v>
      </c>
      <c r="L35" s="2" t="s">
        <v>65</v>
      </c>
    </row>
    <row r="36" spans="11:15" x14ac:dyDescent="0.25">
      <c r="K36" s="2" t="s">
        <v>62</v>
      </c>
      <c r="L36" t="s">
        <v>25</v>
      </c>
      <c r="M36" t="s">
        <v>17</v>
      </c>
      <c r="N36" t="s">
        <v>24</v>
      </c>
      <c r="O36" t="s">
        <v>63</v>
      </c>
    </row>
    <row r="37" spans="11:15" x14ac:dyDescent="0.25">
      <c r="K37" s="3" t="s">
        <v>19</v>
      </c>
      <c r="L37">
        <v>7</v>
      </c>
      <c r="M37">
        <v>183</v>
      </c>
      <c r="N37">
        <v>5</v>
      </c>
      <c r="O37">
        <v>195</v>
      </c>
    </row>
    <row r="38" spans="11:15" x14ac:dyDescent="0.25">
      <c r="K38" s="3" t="s">
        <v>30</v>
      </c>
      <c r="L38">
        <v>2</v>
      </c>
      <c r="M38">
        <v>17</v>
      </c>
      <c r="N38">
        <v>2</v>
      </c>
      <c r="O38">
        <v>21</v>
      </c>
    </row>
    <row r="39" spans="11:15" x14ac:dyDescent="0.25">
      <c r="K39" s="3" t="s">
        <v>22</v>
      </c>
      <c r="L39">
        <v>4</v>
      </c>
      <c r="N39">
        <v>6</v>
      </c>
      <c r="O39">
        <v>10</v>
      </c>
    </row>
    <row r="40" spans="11:15" x14ac:dyDescent="0.25">
      <c r="K40" s="3" t="s">
        <v>15</v>
      </c>
      <c r="L40">
        <v>64</v>
      </c>
      <c r="M40">
        <v>19</v>
      </c>
      <c r="N40">
        <v>65</v>
      </c>
      <c r="O40">
        <v>148</v>
      </c>
    </row>
    <row r="41" spans="11:15" x14ac:dyDescent="0.25">
      <c r="K41" s="3" t="s">
        <v>63</v>
      </c>
      <c r="L41">
        <v>77</v>
      </c>
      <c r="M41">
        <v>219</v>
      </c>
      <c r="N41">
        <v>78</v>
      </c>
      <c r="O41">
        <v>374</v>
      </c>
    </row>
    <row r="55" spans="18:19" x14ac:dyDescent="0.25">
      <c r="R55" s="2" t="s">
        <v>62</v>
      </c>
      <c r="S55" t="s">
        <v>64</v>
      </c>
    </row>
    <row r="56" spans="18:19" x14ac:dyDescent="0.25">
      <c r="R56" s="3" t="s">
        <v>35</v>
      </c>
      <c r="S56">
        <v>263.2</v>
      </c>
    </row>
    <row r="57" spans="18:19" x14ac:dyDescent="0.25">
      <c r="R57" s="3" t="s">
        <v>18</v>
      </c>
      <c r="S57">
        <v>494.90000000000003</v>
      </c>
    </row>
    <row r="58" spans="18:19" x14ac:dyDescent="0.25">
      <c r="R58" s="3" t="s">
        <v>34</v>
      </c>
      <c r="S58">
        <v>503.19999999999982</v>
      </c>
    </row>
    <row r="59" spans="18:19" x14ac:dyDescent="0.25">
      <c r="R59" s="3" t="s">
        <v>42</v>
      </c>
      <c r="S59">
        <v>348.29999999999995</v>
      </c>
    </row>
    <row r="60" spans="18:19" x14ac:dyDescent="0.25">
      <c r="R60" s="3" t="s">
        <v>53</v>
      </c>
      <c r="S60">
        <v>6.9</v>
      </c>
    </row>
    <row r="61" spans="18:19" x14ac:dyDescent="0.25">
      <c r="R61" s="3" t="s">
        <v>29</v>
      </c>
      <c r="S61">
        <v>515.6</v>
      </c>
    </row>
    <row r="62" spans="18:19" x14ac:dyDescent="0.25">
      <c r="R62" s="3" t="s">
        <v>21</v>
      </c>
      <c r="S62">
        <v>11.8</v>
      </c>
    </row>
    <row r="63" spans="18:19" x14ac:dyDescent="0.25">
      <c r="R63" s="3" t="s">
        <v>50</v>
      </c>
      <c r="S63">
        <v>204.90000000000012</v>
      </c>
    </row>
    <row r="64" spans="18:19" x14ac:dyDescent="0.25">
      <c r="R64" s="3" t="s">
        <v>37</v>
      </c>
      <c r="S64">
        <v>24</v>
      </c>
    </row>
    <row r="65" spans="18:31" x14ac:dyDescent="0.25">
      <c r="R65" s="3" t="s">
        <v>14</v>
      </c>
      <c r="S65">
        <v>27</v>
      </c>
    </row>
    <row r="66" spans="18:31" x14ac:dyDescent="0.25">
      <c r="R66" s="3" t="s">
        <v>26</v>
      </c>
      <c r="S66">
        <v>267.60000000000002</v>
      </c>
    </row>
    <row r="67" spans="18:31" x14ac:dyDescent="0.25">
      <c r="R67" s="3" t="s">
        <v>63</v>
      </c>
      <c r="S67">
        <v>2667.4</v>
      </c>
    </row>
    <row r="80" spans="18:31" x14ac:dyDescent="0.25">
      <c r="AE80" t="s">
        <v>68</v>
      </c>
    </row>
    <row r="81" spans="24:32" x14ac:dyDescent="0.25">
      <c r="X81" s="2" t="s">
        <v>62</v>
      </c>
      <c r="Y81" t="s">
        <v>67</v>
      </c>
      <c r="AE81" s="4">
        <v>7.1320855614973171</v>
      </c>
      <c r="AF81">
        <f>GETPIVOTDATA("Sleep Duration",$AE$80)</f>
        <v>7.1320855614973171</v>
      </c>
    </row>
    <row r="82" spans="24:32" x14ac:dyDescent="0.25">
      <c r="X82" s="3" t="s">
        <v>25</v>
      </c>
      <c r="Y82">
        <v>77</v>
      </c>
    </row>
    <row r="83" spans="24:32" x14ac:dyDescent="0.25">
      <c r="X83" s="3" t="s">
        <v>17</v>
      </c>
      <c r="Y83">
        <v>219</v>
      </c>
      <c r="AE83" t="s">
        <v>67</v>
      </c>
    </row>
    <row r="84" spans="24:32" x14ac:dyDescent="0.25">
      <c r="X84" s="3" t="s">
        <v>24</v>
      </c>
      <c r="Y84">
        <v>78</v>
      </c>
      <c r="AE84">
        <v>374</v>
      </c>
      <c r="AF84">
        <f>GETPIVOTDATA("Person ID",$AE$83)</f>
        <v>374</v>
      </c>
    </row>
    <row r="85" spans="24:32" x14ac:dyDescent="0.25">
      <c r="X85" s="3" t="s">
        <v>63</v>
      </c>
      <c r="Y85">
        <v>374</v>
      </c>
    </row>
    <row r="86" spans="24:32" x14ac:dyDescent="0.25">
      <c r="AE86" t="s">
        <v>69</v>
      </c>
    </row>
    <row r="87" spans="24:32" x14ac:dyDescent="0.25">
      <c r="AE87" s="4">
        <v>5.3850267379679142</v>
      </c>
      <c r="AF87">
        <f>GETPIVOTDATA("Stress Level",$AE$86)</f>
        <v>5.3850267379679142</v>
      </c>
    </row>
    <row r="89" spans="24:32" x14ac:dyDescent="0.25">
      <c r="AE89" t="s">
        <v>70</v>
      </c>
    </row>
    <row r="90" spans="24:32" x14ac:dyDescent="0.25">
      <c r="AE90" s="6">
        <v>1</v>
      </c>
      <c r="AF90" s="7">
        <f>GETPIVOTDATA("Sleep Disorder",$AE$89)</f>
        <v>1</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B0F1-E04F-4530-AB57-11BA6223C1DD}">
  <dimension ref="A1"/>
  <sheetViews>
    <sheetView showGridLines="0" tabSelected="1" workbookViewId="0">
      <selection activeCell="A5" sqref="A5"/>
    </sheetView>
  </sheetViews>
  <sheetFormatPr defaultRowHeight="15" x14ac:dyDescent="0.25"/>
  <cols>
    <col min="1" max="16384" width="9.140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3A50C5-6B3F-4716-9023-FFDBC74B4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Sleep_health_and_lifestyle_data</vt:lpstr>
      <vt:lpstr>Sleep_health_and_lifestyle_ (2)</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2026-01-19T13:56:18Z</dcterms:created>
  <dcterms:modified xsi:type="dcterms:W3CDTF">2026-01-22T17:07:09Z</dcterms:modified>
</cp:coreProperties>
</file>